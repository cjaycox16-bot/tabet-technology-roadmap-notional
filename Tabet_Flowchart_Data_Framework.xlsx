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055d2e3e9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5e7c9ff40354fd4"/>
    <x:sheet xmlns:r="http://schemas.openxmlformats.org/officeDocument/2006/relationships" name="Flowchart View" sheetId="2" r:id="R6959fd9f739b4824"/>
    <x:sheet xmlns:r="http://schemas.openxmlformats.org/officeDocument/2006/relationships" name="Flowchart Nodes" sheetId="3" r:id="R04806ea411fd40a7"/>
    <x:sheet xmlns:r="http://schemas.openxmlformats.org/officeDocument/2006/relationships" name="Flowchart Edges" sheetId="4" r:id="Rddb9ac34af8e4308"/>
    <x:sheet xmlns:r="http://schemas.openxmlformats.org/officeDocument/2006/relationships" name="Process Register" sheetId="5" r:id="R1f590fc9ecb24995"/>
    <x:sheet xmlns:r="http://schemas.openxmlformats.org/officeDocument/2006/relationships" name="Process Software" sheetId="6" r:id="R9e00e71d65c14c62"/>
    <x:sheet xmlns:r="http://schemas.openxmlformats.org/officeDocument/2006/relationships" name="React Import Map" sheetId="7" r:id="R1d9dd6baf418479b"/>
    <x:sheet xmlns:r="http://schemas.openxmlformats.org/officeDocument/2006/relationships" name="Mermaid Reference" sheetId="8" r:id="Rcf617d07771e494f"/>
    <x:sheet xmlns:r="http://schemas.openxmlformats.org/officeDocument/2006/relationships" name="Lists" sheetId="9" r:id="R2958c9b84a9846a3"/>
    <x:sheet xmlns:r="http://schemas.openxmlformats.org/officeDocument/2006/relationships" name="Data Dictionary" sheetId="10" r:id="R9bab84782436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b/>
      <x:sz val="11"/>
      <x:color rgb="FF47556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  <x:fill>
      <x:patternFill patternType="solid">
        <x:fgColor rgb="FFDBEAFE"/>
      </x:patternFill>
    </x:fill>
    <x:fill>
      <x:patternFill patternType="solid">
        <x:fgColor rgb="FFD1FAE5"/>
      </x:patternFill>
    </x:fill>
    <x:fill>
      <x:patternFill patternType="solid">
        <x:fgColor rgb="FFFFEDD5"/>
      </x:patternFill>
    </x:fill>
    <x:fill>
      <x:patternFill patternType="solid">
        <x:fgColor rgb="FFEDE9FE"/>
      </x:patternFill>
    </x:fill>
  </x:fills>
  <x:borders count="37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medium">
        <x:color rgb="FF2563EB"/>
      </x:left>
      <x:top style="medium">
        <x:color rgb="FF2563EB"/>
      </x:top>
    </x:border>
    <x:border>
      <x:top style="medium">
        <x:color rgb="FF2563EB"/>
      </x:top>
    </x:border>
    <x:border>
      <x:right style="medium">
        <x:color rgb="FF2563EB"/>
      </x:right>
      <x:top style="medium">
        <x:color rgb="FF2563EB"/>
      </x:top>
    </x:border>
    <x:border>
      <x:left style="medium">
        <x:color rgb="FF2563EB"/>
      </x:left>
      <x:bottom style="medium">
        <x:color rgb="FF2563EB"/>
      </x:bottom>
    </x:border>
    <x:border>
      <x:bottom style="medium">
        <x:color rgb="FF2563EB"/>
      </x:bottom>
    </x:border>
    <x:border>
      <x:right style="medium">
        <x:color rgb="FF2563EB"/>
      </x:right>
      <x:bottom style="medium">
        <x:color rgb="FF2563EB"/>
      </x:bottom>
    </x:border>
    <x:border>
      <x:left style="medium">
        <x:color rgb="FF047857"/>
      </x:left>
      <x:top style="medium">
        <x:color rgb="FF047857"/>
      </x:top>
    </x:border>
    <x:border>
      <x:top style="medium">
        <x:color rgb="FF047857"/>
      </x:top>
    </x:border>
    <x:border>
      <x:right style="medium">
        <x:color rgb="FF047857"/>
      </x:right>
      <x:top style="medium">
        <x:color rgb="FF047857"/>
      </x:top>
    </x:border>
    <x:border>
      <x:left style="medium">
        <x:color rgb="FF047857"/>
      </x:left>
      <x:bottom style="medium">
        <x:color rgb="FF047857"/>
      </x:bottom>
    </x:border>
    <x:border>
      <x:bottom style="medium">
        <x:color rgb="FF047857"/>
      </x:bottom>
    </x:border>
    <x:border>
      <x:right style="medium">
        <x:color rgb="FF047857"/>
      </x:right>
      <x:bottom style="medium">
        <x:color rgb="FF047857"/>
      </x:bottom>
    </x:border>
    <x:border>
      <x:left style="medium">
        <x:color rgb="FFEA580C"/>
      </x:left>
      <x:top style="medium">
        <x:color rgb="FFEA580C"/>
      </x:top>
    </x:border>
    <x:border>
      <x:top style="medium">
        <x:color rgb="FFEA580C"/>
      </x:top>
    </x:border>
    <x:border>
      <x:right style="medium">
        <x:color rgb="FFEA580C"/>
      </x:right>
      <x:top style="medium">
        <x:color rgb="FFEA580C"/>
      </x:top>
    </x:border>
    <x:border>
      <x:left style="medium">
        <x:color rgb="FFEA580C"/>
      </x:left>
      <x:bottom style="medium">
        <x:color rgb="FFEA580C"/>
      </x:bottom>
    </x:border>
    <x:border>
      <x:bottom style="medium">
        <x:color rgb="FFEA580C"/>
      </x:bottom>
    </x:border>
    <x:border>
      <x:right style="medium">
        <x:color rgb="FFEA580C"/>
      </x:right>
      <x:bottom style="medium">
        <x:color rgb="FFEA580C"/>
      </x:bottom>
    </x:border>
    <x:border>
      <x:left style="medium">
        <x:color rgb="FF6D28D9"/>
      </x:left>
      <x:top style="medium">
        <x:color rgb="FF6D28D9"/>
      </x:top>
    </x:border>
    <x:border>
      <x:top style="medium">
        <x:color rgb="FF6D28D9"/>
      </x:top>
    </x:border>
    <x:border>
      <x:right style="medium">
        <x:color rgb="FF6D28D9"/>
      </x:right>
      <x:top style="medium">
        <x:color rgb="FF6D28D9"/>
      </x:top>
    </x:border>
    <x:border>
      <x:left style="medium">
        <x:color rgb="FF6D28D9"/>
      </x:left>
      <x:bottom style="medium">
        <x:color rgb="FF6D28D9"/>
      </x:bottom>
    </x:border>
    <x:border>
      <x:bottom style="medium">
        <x:color rgb="FF6D28D9"/>
      </x:bottom>
    </x:border>
    <x:border>
      <x:right style="medium">
        <x:color rgb="FF6D28D9"/>
      </x:right>
      <x:bottom style="medium">
        <x:color rgb="FF6D28D9"/>
      </x:bottom>
    </x:border>
    <x:border>
      <x:left style="medium">
        <x:color rgb="FF475569"/>
      </x:left>
      <x:top style="medium">
        <x:color rgb="FF475569"/>
      </x:top>
    </x:border>
    <x:border>
      <x:top style="medium">
        <x:color rgb="FF475569"/>
      </x:top>
    </x:border>
    <x:border>
      <x:right style="medium">
        <x:color rgb="FF475569"/>
      </x:right>
      <x:top style="medium">
        <x:color rgb="FF475569"/>
      </x:top>
    </x:border>
    <x:border>
      <x:left style="medium">
        <x:color rgb="FF475569"/>
      </x:left>
      <x:bottom style="medium">
        <x:color rgb="FF475569"/>
      </x:bottom>
    </x:border>
    <x:border>
      <x:bottom style="medium">
        <x:color rgb="FF475569"/>
      </x:bottom>
    </x:border>
    <x:border>
      <x:right style="medium">
        <x:color rgb="FF475569"/>
      </x:right>
      <x:bottom style="medium">
        <x:color rgb="FF475569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6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9" xfId="0" applyNumberFormat="1" applyFont="1" applyFill="1" applyBorder="1" applyAlignment="1">
      <x:alignment horizontal="center" wrapText="1"/>
    </x:xf>
    <x:xf numFmtId="0" fontId="5" fillId="5" borderId="10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horizontal="center" wrapText="1"/>
    </x:xf>
    <x:xf numFmtId="0" fontId="5" fillId="6" borderId="12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6" xfId="0" applyNumberFormat="1" applyFont="1" applyFill="1" applyBorder="1" applyAlignment="1">
      <x:alignment horizont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5" fillId="6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7" xfId="0" applyNumberFormat="1" applyFont="1" applyFill="1" applyBorder="1"/>
    <x:xf numFmtId="0" fontId="5" fillId="7" borderId="18" xfId="0" applyNumberFormat="1" applyFont="1" applyFill="1" applyBorder="1"/>
    <x:xf numFmtId="0" fontId="5" fillId="7" borderId="19" xfId="0" applyNumberFormat="1" applyFont="1" applyFill="1" applyBorder="1"/>
    <x:xf numFmtId="0" fontId="5" fillId="7" borderId="20" xfId="0" applyNumberFormat="1" applyFont="1" applyFill="1" applyBorder="1"/>
    <x:xf numFmtId="0" fontId="5" fillId="7" borderId="21" xfId="0" applyNumberFormat="1" applyFont="1" applyFill="1" applyBorder="1"/>
    <x:xf numFmtId="0" fontId="5" fillId="7" borderId="22" xfId="0" applyNumberFormat="1" applyFont="1" applyFill="1" applyBorder="1"/>
    <x:xf numFmtId="0" fontId="5" fillId="7" borderId="17" xfId="0" applyNumberFormat="1" applyFont="1" applyFill="1" applyBorder="1" applyAlignment="1">
      <x:alignment wrapText="1"/>
    </x:xf>
    <x:xf numFmtId="0" fontId="5" fillId="7" borderId="18" xfId="0" applyNumberFormat="1" applyFont="1" applyFill="1" applyBorder="1" applyAlignment="1">
      <x:alignment wrapText="1"/>
    </x:xf>
    <x:xf numFmtId="0" fontId="5" fillId="7" borderId="19" xfId="0" applyNumberFormat="1" applyFont="1" applyFill="1" applyBorder="1" applyAlignment="1">
      <x:alignment wrapText="1"/>
    </x:xf>
    <x:xf numFmtId="0" fontId="5" fillId="7" borderId="20" xfId="0" applyNumberFormat="1" applyFont="1" applyFill="1" applyBorder="1" applyAlignment="1">
      <x:alignment wrapText="1"/>
    </x:xf>
    <x:xf numFmtId="0" fontId="5" fillId="7" borderId="21" xfId="0" applyNumberFormat="1" applyFont="1" applyFill="1" applyBorder="1" applyAlignment="1">
      <x:alignment wrapText="1"/>
    </x:xf>
    <x:xf numFmtId="0" fontId="5" fillId="7" borderId="22" xfId="0" applyNumberFormat="1" applyFont="1" applyFill="1" applyBorder="1" applyAlignment="1">
      <x:alignment wrapText="1"/>
    </x:xf>
    <x:xf numFmtId="0" fontId="5" fillId="7" borderId="17" xfId="0" applyNumberFormat="1" applyFont="1" applyFill="1" applyBorder="1" applyAlignment="1">
      <x:alignment horizontal="center" wrapText="1"/>
    </x:xf>
    <x:xf numFmtId="0" fontId="5" fillId="7" borderId="18" xfId="0" applyNumberFormat="1" applyFont="1" applyFill="1" applyBorder="1" applyAlignment="1">
      <x:alignment horizontal="center" wrapText="1"/>
    </x:xf>
    <x:xf numFmtId="0" fontId="5" fillId="7" borderId="19" xfId="0" applyNumberFormat="1" applyFont="1" applyFill="1" applyBorder="1" applyAlignment="1">
      <x:alignment horizontal="center" wrapText="1"/>
    </x:xf>
    <x:xf numFmtId="0" fontId="5" fillId="7" borderId="20" xfId="0" applyNumberFormat="1" applyFont="1" applyFill="1" applyBorder="1" applyAlignment="1">
      <x:alignment horizontal="center" wrapText="1"/>
    </x:xf>
    <x:xf numFmtId="0" fontId="5" fillId="7" borderId="21" xfId="0" applyNumberFormat="1" applyFont="1" applyFill="1" applyBorder="1" applyAlignment="1">
      <x:alignment horizontal="center" wrapText="1"/>
    </x:xf>
    <x:xf numFmtId="0" fontId="5" fillId="7" borderId="22" xfId="0" applyNumberFormat="1" applyFont="1" applyFill="1" applyBorder="1" applyAlignment="1">
      <x:alignment horizontal="center" wrapText="1"/>
    </x:xf>
    <x:xf numFmtId="0" fontId="5" fillId="7" borderId="17" xfId="0" applyNumberFormat="1" applyFont="1" applyFill="1" applyBorder="1" applyAlignment="1">
      <x:alignment horizontal="center" vertical="center" wrapText="1"/>
    </x:xf>
    <x:xf numFmtId="0" fontId="5" fillId="7" borderId="18" xfId="0" applyNumberFormat="1" applyFont="1" applyFill="1" applyBorder="1" applyAlignment="1">
      <x:alignment horizontal="center" vertical="center" wrapText="1"/>
    </x:xf>
    <x:xf numFmtId="0" fontId="5" fillId="7" borderId="19" xfId="0" applyNumberFormat="1" applyFont="1" applyFill="1" applyBorder="1" applyAlignment="1">
      <x:alignment horizontal="center" vertical="center" wrapText="1"/>
    </x:xf>
    <x:xf numFmtId="0" fontId="5" fillId="7" borderId="20" xfId="0" applyNumberFormat="1" applyFont="1" applyFill="1" applyBorder="1" applyAlignment="1">
      <x:alignment horizontal="center" vertical="center" wrapText="1"/>
    </x:xf>
    <x:xf numFmtId="0" fontId="5" fillId="7" borderId="21" xfId="0" applyNumberFormat="1" applyFont="1" applyFill="1" applyBorder="1" applyAlignment="1">
      <x:alignment horizontal="center" vertical="center" wrapText="1"/>
    </x:xf>
    <x:xf numFmtId="0" fontId="5" fillId="7" borderId="22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23" xfId="0" applyNumberFormat="1" applyFont="1" applyFill="1" applyBorder="1"/>
    <x:xf numFmtId="0" fontId="5" fillId="8" borderId="24" xfId="0" applyNumberFormat="1" applyFont="1" applyFill="1" applyBorder="1"/>
    <x:xf numFmtId="0" fontId="5" fillId="8" borderId="25" xfId="0" applyNumberFormat="1" applyFont="1" applyFill="1" applyBorder="1"/>
    <x:xf numFmtId="0" fontId="5" fillId="8" borderId="26" xfId="0" applyNumberFormat="1" applyFont="1" applyFill="1" applyBorder="1"/>
    <x:xf numFmtId="0" fontId="5" fillId="8" borderId="27" xfId="0" applyNumberFormat="1" applyFont="1" applyFill="1" applyBorder="1"/>
    <x:xf numFmtId="0" fontId="5" fillId="8" borderId="28" xfId="0" applyNumberFormat="1" applyFont="1" applyFill="1" applyBorder="1"/>
    <x:xf numFmtId="0" fontId="5" fillId="8" borderId="23" xfId="0" applyNumberFormat="1" applyFont="1" applyFill="1" applyBorder="1" applyAlignment="1">
      <x:alignment wrapText="1"/>
    </x:xf>
    <x:xf numFmtId="0" fontId="5" fillId="8" borderId="24" xfId="0" applyNumberFormat="1" applyFont="1" applyFill="1" applyBorder="1" applyAlignment="1">
      <x:alignment wrapText="1"/>
    </x:xf>
    <x:xf numFmtId="0" fontId="5" fillId="8" borderId="25" xfId="0" applyNumberFormat="1" applyFont="1" applyFill="1" applyBorder="1" applyAlignment="1">
      <x:alignment wrapText="1"/>
    </x:xf>
    <x:xf numFmtId="0" fontId="5" fillId="8" borderId="26" xfId="0" applyNumberFormat="1" applyFont="1" applyFill="1" applyBorder="1" applyAlignment="1">
      <x:alignment wrapText="1"/>
    </x:xf>
    <x:xf numFmtId="0" fontId="5" fillId="8" borderId="27" xfId="0" applyNumberFormat="1" applyFont="1" applyFill="1" applyBorder="1" applyAlignment="1">
      <x:alignment wrapText="1"/>
    </x:xf>
    <x:xf numFmtId="0" fontId="5" fillId="8" borderId="28" xfId="0" applyNumberFormat="1" applyFont="1" applyFill="1" applyBorder="1" applyAlignment="1">
      <x:alignment wrapText="1"/>
    </x:xf>
    <x:xf numFmtId="0" fontId="5" fillId="8" borderId="23" xfId="0" applyNumberFormat="1" applyFont="1" applyFill="1" applyBorder="1" applyAlignment="1">
      <x:alignment horizontal="center" wrapText="1"/>
    </x:xf>
    <x:xf numFmtId="0" fontId="5" fillId="8" borderId="24" xfId="0" applyNumberFormat="1" applyFont="1" applyFill="1" applyBorder="1" applyAlignment="1">
      <x:alignment horizontal="center" wrapText="1"/>
    </x:xf>
    <x:xf numFmtId="0" fontId="5" fillId="8" borderId="25" xfId="0" applyNumberFormat="1" applyFont="1" applyFill="1" applyBorder="1" applyAlignment="1">
      <x:alignment horizontal="center" wrapText="1"/>
    </x:xf>
    <x:xf numFmtId="0" fontId="5" fillId="8" borderId="26" xfId="0" applyNumberFormat="1" applyFont="1" applyFill="1" applyBorder="1" applyAlignment="1">
      <x:alignment horizontal="center" wrapText="1"/>
    </x:xf>
    <x:xf numFmtId="0" fontId="5" fillId="8" borderId="27" xfId="0" applyNumberFormat="1" applyFont="1" applyFill="1" applyBorder="1" applyAlignment="1">
      <x:alignment horizontal="center" wrapText="1"/>
    </x:xf>
    <x:xf numFmtId="0" fontId="5" fillId="8" borderId="28" xfId="0" applyNumberFormat="1" applyFont="1" applyFill="1" applyBorder="1" applyAlignment="1">
      <x:alignment horizontal="center" wrapText="1"/>
    </x:xf>
    <x:xf numFmtId="0" fontId="5" fillId="8" borderId="23" xfId="0" applyNumberFormat="1" applyFont="1" applyFill="1" applyBorder="1" applyAlignment="1">
      <x:alignment horizontal="center" vertical="center" wrapText="1"/>
    </x:xf>
    <x:xf numFmtId="0" fontId="5" fillId="8" borderId="24" xfId="0" applyNumberFormat="1" applyFont="1" applyFill="1" applyBorder="1" applyAlignment="1">
      <x:alignment horizontal="center" vertical="center" wrapText="1"/>
    </x:xf>
    <x:xf numFmtId="0" fontId="5" fillId="8" borderId="25" xfId="0" applyNumberFormat="1" applyFont="1" applyFill="1" applyBorder="1" applyAlignment="1">
      <x:alignment horizontal="center" vertical="center" wrapText="1"/>
    </x:xf>
    <x:xf numFmtId="0" fontId="5" fillId="8" borderId="26" xfId="0" applyNumberFormat="1" applyFont="1" applyFill="1" applyBorder="1" applyAlignment="1">
      <x:alignment horizontal="center" vertical="center" wrapText="1"/>
    </x:xf>
    <x:xf numFmtId="0" fontId="5" fillId="8" borderId="27" xfId="0" applyNumberFormat="1" applyFont="1" applyFill="1" applyBorder="1" applyAlignment="1">
      <x:alignment horizontal="center" vertical="center" wrapText="1"/>
    </x:xf>
    <x:xf numFmtId="0" fontId="5" fillId="8" borderId="28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29" xfId="0" applyNumberFormat="1" applyFont="1" applyFill="1" applyBorder="1"/>
    <x:xf numFmtId="0" fontId="5" fillId="3" borderId="30" xfId="0" applyNumberFormat="1" applyFont="1" applyFill="1" applyBorder="1"/>
    <x:xf numFmtId="0" fontId="5" fillId="3" borderId="31" xfId="0" applyNumberFormat="1" applyFont="1" applyFill="1" applyBorder="1"/>
    <x:xf numFmtId="0" fontId="5" fillId="3" borderId="32" xfId="0" applyNumberFormat="1" applyFont="1" applyFill="1" applyBorder="1"/>
    <x:xf numFmtId="0" fontId="5" fillId="3" borderId="33" xfId="0" applyNumberFormat="1" applyFont="1" applyFill="1" applyBorder="1"/>
    <x:xf numFmtId="0" fontId="5" fillId="3" borderId="34" xfId="0" applyNumberFormat="1" applyFont="1" applyFill="1" applyBorder="1"/>
    <x:xf numFmtId="0" fontId="5" fillId="3" borderId="29" xfId="0" applyNumberFormat="1" applyFont="1" applyFill="1" applyBorder="1" applyAlignment="1">
      <x:alignment wrapText="1"/>
    </x:xf>
    <x:xf numFmtId="0" fontId="5" fillId="3" borderId="30" xfId="0" applyNumberFormat="1" applyFont="1" applyFill="1" applyBorder="1" applyAlignment="1">
      <x:alignment wrapText="1"/>
    </x:xf>
    <x:xf numFmtId="0" fontId="5" fillId="3" borderId="31" xfId="0" applyNumberFormat="1" applyFont="1" applyFill="1" applyBorder="1" applyAlignment="1">
      <x:alignment wrapText="1"/>
    </x:xf>
    <x:xf numFmtId="0" fontId="5" fillId="3" borderId="32" xfId="0" applyNumberFormat="1" applyFont="1" applyFill="1" applyBorder="1" applyAlignment="1">
      <x:alignment wrapText="1"/>
    </x:xf>
    <x:xf numFmtId="0" fontId="5" fillId="3" borderId="33" xfId="0" applyNumberFormat="1" applyFont="1" applyFill="1" applyBorder="1" applyAlignment="1">
      <x:alignment wrapText="1"/>
    </x:xf>
    <x:xf numFmtId="0" fontId="5" fillId="3" borderId="34" xfId="0" applyNumberFormat="1" applyFont="1" applyFill="1" applyBorder="1" applyAlignment="1">
      <x:alignment wrapText="1"/>
    </x:xf>
    <x:xf numFmtId="0" fontId="5" fillId="3" borderId="29" xfId="0" applyNumberFormat="1" applyFont="1" applyFill="1" applyBorder="1" applyAlignment="1">
      <x:alignment horizontal="center" wrapText="1"/>
    </x:xf>
    <x:xf numFmtId="0" fontId="5" fillId="3" borderId="30" xfId="0" applyNumberFormat="1" applyFont="1" applyFill="1" applyBorder="1" applyAlignment="1">
      <x:alignment horizontal="center" wrapText="1"/>
    </x:xf>
    <x:xf numFmtId="0" fontId="5" fillId="3" borderId="31" xfId="0" applyNumberFormat="1" applyFont="1" applyFill="1" applyBorder="1" applyAlignment="1">
      <x:alignment horizontal="center" wrapText="1"/>
    </x:xf>
    <x:xf numFmtId="0" fontId="5" fillId="3" borderId="32" xfId="0" applyNumberFormat="1" applyFont="1" applyFill="1" applyBorder="1" applyAlignment="1">
      <x:alignment horizontal="center" wrapText="1"/>
    </x:xf>
    <x:xf numFmtId="0" fontId="5" fillId="3" borderId="33" xfId="0" applyNumberFormat="1" applyFont="1" applyFill="1" applyBorder="1" applyAlignment="1">
      <x:alignment horizontal="center" wrapText="1"/>
    </x:xf>
    <x:xf numFmtId="0" fontId="5" fillId="3" borderId="34" xfId="0" applyNumberFormat="1" applyFont="1" applyFill="1" applyBorder="1" applyAlignment="1">
      <x:alignment horizontal="center" wrapText="1"/>
    </x:xf>
    <x:xf numFmtId="0" fontId="5" fillId="3" borderId="29" xfId="0" applyNumberFormat="1" applyFont="1" applyFill="1" applyBorder="1" applyAlignment="1">
      <x:alignment horizontal="center" vertical="center" wrapText="1"/>
    </x:xf>
    <x:xf numFmtId="0" fontId="5" fillId="3" borderId="30" xfId="0" applyNumberFormat="1" applyFont="1" applyFill="1" applyBorder="1" applyAlignment="1">
      <x:alignment horizontal="center" vertical="center" wrapText="1"/>
    </x:xf>
    <x:xf numFmtId="0" fontId="5" fillId="3" borderId="31" xfId="0" applyNumberFormat="1" applyFont="1" applyFill="1" applyBorder="1" applyAlignment="1">
      <x:alignment horizontal="center" vertical="center" wrapText="1"/>
    </x:xf>
    <x:xf numFmtId="0" fontId="5" fillId="3" borderId="32" xfId="0" applyNumberFormat="1" applyFont="1" applyFill="1" applyBorder="1" applyAlignment="1">
      <x:alignment horizontal="center" vertical="center" wrapText="1"/>
    </x:xf>
    <x:xf numFmtId="0" fontId="5" fillId="3" borderId="33" xfId="0" applyNumberFormat="1" applyFont="1" applyFill="1" applyBorder="1" applyAlignment="1">
      <x:alignment horizontal="center" vertical="center" wrapText="1"/>
    </x:xf>
    <x:xf numFmtId="0" fontId="5" fillId="3" borderId="34" xfId="0" applyNumberFormat="1" applyFont="1" applyFill="1" applyBorder="1" applyAlignment="1">
      <x:alignment horizontal="center" vertical="center" wrapText="1"/>
    </x:xf>
    <x:xf numFmtId="0" fontId="3" fillId="0" borderId="35" xfId="0" applyNumberFormat="1" applyFont="1" applyFill="1" applyBorder="1"/>
    <x:xf numFmtId="0" fontId="3" fillId="0" borderId="36" xfId="0" applyNumberFormat="1" applyFont="1" applyFill="1" applyBorder="1"/>
    <x:xf numFmtId="0" fontId="3" fillId="0" borderId="35" xfId="0" applyNumberFormat="1" applyFont="1" applyFill="1" applyBorder="1" applyAlignment="1">
      <x:alignment wrapText="1"/>
    </x:xf>
    <x:xf numFmtId="0" fontId="3" fillId="0" borderId="36" xfId="0" applyNumberFormat="1" applyFont="1" applyFill="1" applyBorder="1" applyAlignment="1">
      <x:alignment wrapText="1"/>
    </x:xf>
    <x:xf numFmtId="0" fontId="3" fillId="0" borderId="35" xfId="0" applyNumberFormat="1" applyFont="1" applyFill="1" applyBorder="1" applyAlignment="1">
      <x:alignment vertical="top" wrapText="1"/>
    </x:xf>
    <x:xf numFmtId="0" fontId="3" fillId="0" borderId="36" xfId="0" applyNumberFormat="1" applyFont="1" applyFill="1" applyBorder="1" applyAlignment="1">
      <x:alignment vertical="top" wrapText="1"/>
    </x:xf>
    <x:xf numFmtId="200" fontId="3" fillId="0" borderId="35" xfId="0" applyNumberFormat="1" applyFont="1" applyFill="1" applyBorder="1" applyAlignment="1">
      <x:alignment vertical="top" wrapText="1"/>
    </x:xf>
    <x:xf numFmtId="200" fontId="3" fillId="0" borderId="36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1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9ad1de215475e" /><Relationship Type="http://schemas.openxmlformats.org/officeDocument/2006/relationships/theme" Target="/xl/theme/theme1.xml" Id="Re66ad7aea18f451c" /><Relationship Type="http://schemas.microsoft.com/office/2022/11/relationships/FeaturePropertyBag" Target="/xl/featurePropertyBag/featurePropertyBag.xml" Id="R7a4536fd77f74374" /><Relationship Type="http://schemas.openxmlformats.org/officeDocument/2006/relationships/sharedStrings" Target="/xl/sharedStrings.xml" Id="R168a83705f7d45d0" /><Relationship Type="http://schemas.openxmlformats.org/officeDocument/2006/relationships/worksheet" Target="/xl/worksheets/sheet1.xml" Id="Rd5e7c9ff40354fd4" /><Relationship Type="http://schemas.openxmlformats.org/officeDocument/2006/relationships/worksheet" Target="/xl/worksheets/sheet2.xml" Id="R6959fd9f739b4824" /><Relationship Type="http://schemas.openxmlformats.org/officeDocument/2006/relationships/worksheet" Target="/xl/worksheets/sheet3.xml" Id="R04806ea411fd40a7" /><Relationship Type="http://schemas.openxmlformats.org/officeDocument/2006/relationships/worksheet" Target="/xl/worksheets/sheet4.xml" Id="Rddb9ac34af8e4308" /><Relationship Type="http://schemas.openxmlformats.org/officeDocument/2006/relationships/worksheet" Target="/xl/worksheets/sheet5.xml" Id="R1f590fc9ecb24995" /><Relationship Type="http://schemas.openxmlformats.org/officeDocument/2006/relationships/worksheet" Target="/xl/worksheets/sheet6.xml" Id="R9e00e71d65c14c62" /><Relationship Type="http://schemas.openxmlformats.org/officeDocument/2006/relationships/worksheet" Target="/xl/worksheets/sheet7.xml" Id="R1d9dd6baf418479b" /><Relationship Type="http://schemas.openxmlformats.org/officeDocument/2006/relationships/worksheet" Target="/xl/worksheets/sheet8.xml" Id="Rcf617d07771e494f" /><Relationship Type="http://schemas.openxmlformats.org/officeDocument/2006/relationships/worksheet" Target="/xl/worksheets/sheet9.xml" Id="R2958c9b84a9846a3" /><Relationship Type="http://schemas.openxmlformats.org/officeDocument/2006/relationships/worksheet" Target="/xl/worksheets/sheet10.xml" Id="R9bab84782436462f" /><Relationship Type="http://schemas.microsoft.com/office/2017/10/relationships/person" Target="/xl/persons/person.xml" Id="R1ca458c6006c48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Jeff Jaycox" id="{039A1FF8-A36E-4475-AE06-488630DBE39F}"/>
</xltc:personList>
</file>

<file path=xl/tables/table1.xml><?xml version="1.0" encoding="utf-8"?>
<x:table xmlns:x="http://schemas.openxmlformats.org/spreadsheetml/2006/main" id="1" name="FlowchartNodesTable" displayName="FlowchartNodesTable" ref="A1:S19" headerRowCount="1" totalsRowCount="0" totalsRowShown="0">
  <x:autoFilter ref="A1:S19"/>
  <x:tableColumns count="19">
    <x:tableColumn id="1" name="flowchart_key"/>
    <x:tableColumn id="2" name="node_id"/>
    <x:tableColumn id="3" name="label"/>
    <x:tableColumn id="4" name="lane"/>
    <x:tableColumn id="5" name="flow_stage"/>
    <x:tableColumn id="6" name="node_role"/>
    <x:tableColumn id="7" name="react_node_type"/>
    <x:tableColumn id="8" name="status"/>
    <x:tableColumn id="9" name="x"/>
    <x:tableColumn id="10" name="y"/>
    <x:tableColumn id="11" name="width"/>
    <x:tableColumn id="12" name="height"/>
    <x:tableColumn id="13" name="fill_color"/>
    <x:tableColumn id="14" name="border_color"/>
    <x:tableColumn id="15" name="parent_group"/>
    <x:tableColumn id="16" name="detail_panel_title"/>
    <x:tableColumn id="17" name="inputs_summary"/>
    <x:tableColumn id="18" name="outputs_summary"/>
    <x:tableColumn id="1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lowchartEdgesTable" displayName="FlowchartEdgesTable" ref="A1:N21" headerRowCount="1" totalsRowCount="0" totalsRowShown="0">
  <x:autoFilter ref="A1:N21"/>
  <x:tableColumns count="14">
    <x:tableColumn id="1" name="edge_id"/>
    <x:tableColumn id="2" name="source_key"/>
    <x:tableColumn id="3" name="target_key"/>
    <x:tableColumn id="4" name="source_node_id"/>
    <x:tableColumn id="5" name="target_node_id"/>
    <x:tableColumn id="6" name="label"/>
    <x:tableColumn id="7" name="edge_type"/>
    <x:tableColumn id="8" name="animated"/>
    <x:tableColumn id="9" name="stroke_color"/>
    <x:tableColumn id="10" name="source_handle"/>
    <x:tableColumn id="11" name="target_handle"/>
    <x:tableColumn id="12" name="handoff_type"/>
    <x:tableColumn id="13" name="data_material_handoff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cessRegisterTable" displayName="ProcessRegisterTable" ref="A1:T19" headerRowCount="1" totalsRowCount="0" totalsRowShown="0">
  <x:autoFilter ref="A1:T19"/>
  <x:tableColumns count="20">
    <x:tableColumn id="1" name="flowchart_key"/>
    <x:tableColumn id="2" name="node_id"/>
    <x:tableColumn id="3" name="process_area"/>
    <x:tableColumn id="4" name="lane"/>
    <x:tableColumn id="5" name="owner_placeholder"/>
    <x:tableColumn id="6" name="inputs"/>
    <x:tableColumn id="7" name="major_activities"/>
    <x:tableColumn id="8" name="outputs"/>
    <x:tableColumn id="9" name="quality_checkpoints"/>
    <x:tableColumn id="10" name="current_software_placeholder"/>
    <x:tableColumn id="11" name="ai_automation_placeholder"/>
    <x:tableColumn id="12" name="future_pps_placeholder"/>
    <x:tableColumn id="13" name="pain_points_placeholder"/>
    <x:tableColumn id="14" name="opportunity_placeholder"/>
    <x:tableColumn id="15" name="time_savings_placeholder"/>
    <x:tableColumn id="16" name="process_status"/>
    <x:tableColumn id="17" name="outgoing_edge_count"/>
    <x:tableColumn id="18" name="incoming_edge_count"/>
    <x:tableColumn id="19" name="software_placeholder_count"/>
    <x:tableColumn id="2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essSoftwareTable" displayName="ProcessSoftwareTable" ref="A1:K91" headerRowCount="1" totalsRowCount="0" totalsRowShown="0">
  <x:autoFilter ref="A1:K91"/>
  <x:tableColumns count="11">
    <x:tableColumn id="1" name="node_id"/>
    <x:tableColumn id="2" name="flowchart_key"/>
    <x:tableColumn id="3" name="process_area"/>
    <x:tableColumn id="4" name="software_category"/>
    <x:tableColumn id="5" name="package_name_placeholder"/>
    <x:tableColumn id="6" name="current_or_future"/>
    <x:tableColumn id="7" name="system_owner_placeholder"/>
    <x:tableColumn id="8" name="integration_direction_placeholder"/>
    <x:tableColumn id="9" name="key_data_objects_placeholder"/>
    <x:tableColumn id="10" name="react_detail_field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actImportMapTable" displayName="ReactImportMapTable" ref="A3:E20" headerRowCount="1" totalsRowCount="0" totalsRowShown="0">
  <x:autoFilter ref="A3:E20"/>
  <x:tableColumns count="5">
    <x:tableColumn id="1" name="source_sheet"/>
    <x:tableColumn id="2" name="excel_column"/>
    <x:tableColumn id="3" name="react_field"/>
    <x:tableColumn id="4" name="use"/>
    <x:tableColumn id="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rmaidReferenceTable" displayName="MermaidReferenceTable" ref="A1:B25" headerRowCount="1" totalsRowCount="0" totalsRowShown="0">
  <x:autoFilter ref="A1:B25"/>
  <x:tableColumns count="2">
    <x:tableColumn id="1" name="line"/>
    <x:tableColumn id="2" name="mermaid_cod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trolledListsTable" displayName="ControlledListsTable" ref="A1:G11" headerRowCount="1" totalsRowCount="0" totalsRowShown="0">
  <x:autoFilter ref="A1:G11"/>
  <x:tableColumns count="7">
    <x:tableColumn id="1" name="lanes"/>
    <x:tableColumn id="2" name="statuses"/>
    <x:tableColumn id="3" name="node_roles"/>
    <x:tableColumn id="4" name="react_node_types"/>
    <x:tableColumn id="5" name="edge_types"/>
    <x:tableColumn id="6" name="software_categories"/>
    <x:tableColumn id="7" name="objectiv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DictionaryTable" displayName="DataDictionaryTable" ref="A1:E14" headerRowCount="1" totalsRowCount="0" totalsRowShown="0">
  <x:autoFilter ref="A1:E14"/>
  <x:tableColumns count="5">
    <x:tableColumn id="1" name="sheet"/>
    <x:tableColumn id="2" name="field_or_section"/>
    <x:tableColumn id="3" name="type"/>
    <x:tableColumn id="4" name="required"/>
    <x:tableColumn id="5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3edc314b3a04a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a08e2736f5140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62b58b4ac1d40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7bfe9dd216c40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96e62ae97a442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d101d1ff31345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bda02ea627d49d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571a97687914c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2">
      <x:c r="B2" s="4" t="str">
        <x:v>Tabet Shop Flowchart Data Framework</x:v>
      </x:c>
    </x:row>
    <x:row r="4">
      <x:c r="B4" s="7" t="str">
        <x:v>Purpose: use this workbook as the editable source of truth for a React flowchart in VS Code. The Flowchart Nodes and Flowchart Edges sheets directly recreate the referenced shop-process flowchart.</x:v>
      </x:c>
    </x:row>
    <x:row r="8">
      <x:c r="B8" s="11" t="str">
        <x:v>Metric</x:v>
      </x:c>
      <x:c r="C8" s="11" t="str">
        <x:v>Formula</x:v>
      </x:c>
      <x:c r="E8" s="11" t="str">
        <x:v>Recommended VS Code Workflow</x:v>
      </x:c>
      <x:c r="F8" s="11"/>
      <x:c r="G8" s="11"/>
      <x:c r="H8" s="11"/>
    </x:row>
    <x:row r="9">
      <x:c r="B9" s="21" t="str">
        <x:v>Flowchart nodes</x:v>
      </x:c>
      <x:c r="C9" s="25" t="n">
        <x:f>COUNTA('Flowchart Nodes'!$A$2:$A$19)</x:f>
        <x:v>18</x:v>
      </x:c>
      <x:c r="E9" s="29" t="str">
        <x:v>1. Read Flowchart Nodes as the React nodes array.</x:v>
      </x:c>
      <x:c r="F9" s="29"/>
      <x:c r="G9" s="29"/>
      <x:c r="H9" s="29"/>
    </x:row>
    <x:row r="10">
      <x:c r="B10" s="23" t="str">
        <x:v>Flowchart edges</x:v>
      </x:c>
      <x:c r="C10" s="26" t="n">
        <x:f>COUNTA('Flowchart Edges'!$A$2:$A$21)</x:f>
        <x:v>20</x:v>
      </x:c>
      <x:c r="E10" s="29" t="str">
        <x:v>2. Read Flowchart Edges as the React edges array.</x:v>
      </x:c>
      <x:c r="F10" s="29"/>
      <x:c r="G10" s="29"/>
      <x:c r="H10" s="29"/>
    </x:row>
    <x:row r="11">
      <x:c r="B11" s="23" t="str">
        <x:v>Process register rows</x:v>
      </x:c>
      <x:c r="C11" s="26" t="n">
        <x:f>COUNTA('Process Register'!$A$2:$A$19)</x:f>
        <x:v>18</x:v>
      </x:c>
      <x:c r="E11" s="29" t="str">
        <x:v>3. Join Process Software by node_id for detail panels.</x:v>
      </x:c>
      <x:c r="F11" s="29"/>
      <x:c r="G11" s="29"/>
      <x:c r="H11" s="29"/>
    </x:row>
    <x:row r="12">
      <x:c r="B12" s="23" t="str">
        <x:v>Software placeholder rows</x:v>
      </x:c>
      <x:c r="C12" s="26" t="n">
        <x:f>COUNTA('Process Software'!$A$2:$A$91)</x:f>
        <x:v>90</x:v>
      </x:c>
      <x:c r="E12" s="29" t="str">
        <x:v>4. Use x/y/width/height/color fields for initial layout.</x:v>
      </x:c>
      <x:c r="F12" s="29"/>
      <x:c r="G12" s="29"/>
      <x:c r="H12" s="29"/>
    </x:row>
    <x:row r="13">
      <x:c r="B13" s="23" t="str">
        <x:v>Manufacturing work centers</x:v>
      </x:c>
      <x:c r="C13" s="26" t="n">
        <x:f>COUNTIF('Flowchart Nodes'!$F$2:$F$19,"Work Center")</x:f>
        <x:v>4</x:v>
      </x:c>
      <x:c r="E13" s="29" t="str">
        <x:v>5. Use Mermaid Reference as the exact diagram parity check.</x:v>
      </x:c>
      <x:c r="F13" s="29"/>
      <x:c r="G13" s="29"/>
      <x:c r="H13" s="29"/>
    </x:row>
    <x:row r="14">
      <x:c r="B14" s="23" t="str">
        <x:v>Future/PPS placeholders</x:v>
      </x:c>
      <x:c r="C14" s="26" t="n">
        <x:f>COUNTIF('Process Software'!$D$2:$D$91,"Future/PPS Integration")</x:f>
        <x:v>18</x:v>
      </x:c>
      <x:c r="E14" s="29" t="str">
        <x:v>6. Keep Process Register as the human-editable business worksheet.</x:v>
      </x:c>
      <x:c r="F14" s="29"/>
      <x:c r="G14" s="29"/>
      <x:c r="H14" s="29"/>
    </x:row>
    <x:row r="16">
      <x:c r="B16" s="11" t="str">
        <x:v>Core Flowchart</x:v>
      </x:c>
      <x:c r="C16" s="11"/>
      <x:c r="D16" s="11"/>
      <x:c r="E16" s="11"/>
      <x:c r="F16" s="11"/>
      <x:c r="G16" s="11"/>
      <x:c r="H16" s="11"/>
    </x:row>
    <x:row r="17">
      <x:c r="B17" s="32" t="str">
        <x:v>Sales &amp; Customer Opportunities -&gt; Estimating &amp; Quoting -&gt; Order Review &amp; Processing -&gt; Engineering &amp; Production Planning -&gt; Purchasing &amp; Supplier Management -&gt; Receiving &amp; Material Control -&gt; Project Management -&gt; parallel manufacturing work centers -&gt; Grinding &amp; Finishing -&gt; Coatings -&gt; Marking -&gt; Assembly -&gt; Testing -&gt; Final Quality Assurance -&gt; Shipping &amp; Customer Delivery</x:v>
      </x:c>
    </x:row>
  </x:sheetData>
  <x:mergeCells>
    <x:mergeCell ref="B2:H2"/>
    <x:mergeCell ref="B4:H6"/>
    <x:mergeCell ref="E8:H8"/>
    <x:mergeCell ref="E9:H9"/>
    <x:mergeCell ref="E10:H10"/>
    <x:mergeCell ref="E11:H11"/>
    <x:mergeCell ref="E12:H12"/>
    <x:mergeCell ref="E13:H13"/>
    <x:mergeCell ref="E14:H14"/>
    <x:mergeCell ref="B16:H16"/>
    <x:mergeCell ref="B17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16" hidden="0" customWidth="1"/>
    <x:col min="5" max="5" width="4" hidden="0" customWidth="1"/>
    <x:col min="6" max="6" width="16" hidden="0" customWidth="1"/>
    <x:col min="7" max="7" width="16" hidden="0" customWidth="1"/>
    <x:col min="8" max="8" width="16" hidden="0" customWidth="1"/>
    <x:col min="9" max="9" width="4" hidden="0" customWidth="1"/>
    <x:col min="10" max="10" width="16" hidden="0" customWidth="1"/>
    <x:col min="11" max="11" width="16" hidden="0" customWidth="1"/>
    <x:col min="12" max="12" width="16" hidden="0" customWidth="1"/>
    <x:col min="13" max="13" width="4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/>
    <x:row r="2" ht="24" customHeight="1">
      <x:c r="B2" s="35" t="str">
        <x:v>Visual Blueprint - Matches Flowchart Nodes and Edges</x:v>
      </x:c>
    </x:row>
    <x:row r="3" ht="24" customHeight="1"/>
    <x:row r="4" ht="24" customHeight="1">
      <x:c r="H4" s="55" t="str">
        <x:v>A  Sales &amp; Customer Opportunities</x:v>
      </x:c>
      <x:c r="I4" s="56" t="str">
        <x:v>A  Sales &amp; Customer Opportunities</x:v>
      </x:c>
      <x:c r="J4" s="57" t="str">
        <x:v>A  Sales &amp; Customer Opportunities</x:v>
      </x:c>
    </x:row>
    <x:row r="5" ht="24" customHeight="1">
      <x:c r="H5" s="58" t="str">
        <x:v>A  Sales &amp; Customer Opportunities</x:v>
      </x:c>
      <x:c r="I5" s="59" t="str">
        <x:v>A  Sales &amp; Customer Opportunities</x:v>
      </x:c>
      <x:c r="J5" s="60" t="str">
        <x:v>A  Sales &amp; Customer Opportunities</x:v>
      </x:c>
    </x:row>
    <x:row r="6" ht="24" customHeight="1">
      <x:c r="I6" s="141" t="str">
        <x:v>v</x:v>
      </x:c>
    </x:row>
    <x:row r="7" ht="24" customHeight="1">
      <x:c r="H7" s="55" t="str">
        <x:v>B  Estimating &amp; Quoting</x:v>
      </x:c>
      <x:c r="I7" s="56" t="str">
        <x:v>B  Estimating &amp; Quoting</x:v>
      </x:c>
      <x:c r="J7" s="57" t="str">
        <x:v>B  Estimating &amp; Quoting</x:v>
      </x:c>
    </x:row>
    <x:row r="8" ht="24" customHeight="1">
      <x:c r="H8" s="58" t="str">
        <x:v>B  Estimating &amp; Quoting</x:v>
      </x:c>
      <x:c r="I8" s="59" t="str">
        <x:v>B  Estimating &amp; Quoting</x:v>
      </x:c>
      <x:c r="J8" s="60" t="str">
        <x:v>B  Estimating &amp; Quoting</x:v>
      </x:c>
    </x:row>
    <x:row r="9" ht="24" customHeight="1">
      <x:c r="I9" s="141" t="str">
        <x:v>v</x:v>
      </x:c>
    </x:row>
    <x:row r="10" ht="24" customHeight="1">
      <x:c r="H10" s="55" t="str">
        <x:v>C  Order Review &amp; Processing</x:v>
      </x:c>
      <x:c r="I10" s="56" t="str">
        <x:v>C  Order Review &amp; Processing</x:v>
      </x:c>
      <x:c r="J10" s="57" t="str">
        <x:v>C  Order Review &amp; Processing</x:v>
      </x:c>
    </x:row>
    <x:row r="11" ht="24" customHeight="1">
      <x:c r="H11" s="58" t="str">
        <x:v>C  Order Review &amp; Processing</x:v>
      </x:c>
      <x:c r="I11" s="59" t="str">
        <x:v>C  Order Review &amp; Processing</x:v>
      </x:c>
      <x:c r="J11" s="60" t="str">
        <x:v>C  Order Review &amp; Processing</x:v>
      </x:c>
    </x:row>
    <x:row r="12" ht="24" customHeight="1">
      <x:c r="I12" s="141" t="str">
        <x:v>v</x:v>
      </x:c>
    </x:row>
    <x:row r="13" ht="24" customHeight="1">
      <x:c r="H13" s="81" t="str">
        <x:v>D  Engineering &amp; Production Planning</x:v>
      </x:c>
      <x:c r="I13" s="82" t="str">
        <x:v>D  Engineering &amp; Production Planning</x:v>
      </x:c>
      <x:c r="J13" s="83" t="str">
        <x:v>D  Engineering &amp; Production Planning</x:v>
      </x:c>
    </x:row>
    <x:row r="14" ht="24" customHeight="1">
      <x:c r="H14" s="84" t="str">
        <x:v>D  Engineering &amp; Production Planning</x:v>
      </x:c>
      <x:c r="I14" s="85" t="str">
        <x:v>D  Engineering &amp; Production Planning</x:v>
      </x:c>
      <x:c r="J14" s="86" t="str">
        <x:v>D  Engineering &amp; Production Planning</x:v>
      </x:c>
    </x:row>
    <x:row r="15" ht="24" customHeight="1">
      <x:c r="I15" s="141" t="str">
        <x:v>v</x:v>
      </x:c>
    </x:row>
    <x:row r="16" ht="24" customHeight="1">
      <x:c r="H16" s="107" t="str">
        <x:v>E  Purchasing &amp; Supplier Management</x:v>
      </x:c>
      <x:c r="I16" s="108" t="str">
        <x:v>E  Purchasing &amp; Supplier Management</x:v>
      </x:c>
      <x:c r="J16" s="109" t="str">
        <x:v>E  Purchasing &amp; Supplier Management</x:v>
      </x:c>
    </x:row>
    <x:row r="17" ht="24" customHeight="1">
      <x:c r="H17" s="110" t="str">
        <x:v>E  Purchasing &amp; Supplier Management</x:v>
      </x:c>
      <x:c r="I17" s="111" t="str">
        <x:v>E  Purchasing &amp; Supplier Management</x:v>
      </x:c>
      <x:c r="J17" s="112" t="str">
        <x:v>E  Purchasing &amp; Supplier Management</x:v>
      </x:c>
    </x:row>
    <x:row r="18" ht="24" customHeight="1">
      <x:c r="I18" s="141" t="str">
        <x:v>v</x:v>
      </x:c>
    </x:row>
    <x:row r="19" ht="24" customHeight="1">
      <x:c r="H19" s="107" t="str">
        <x:v>F  Receiving &amp; Material Control</x:v>
      </x:c>
      <x:c r="I19" s="108" t="str">
        <x:v>F  Receiving &amp; Material Control</x:v>
      </x:c>
      <x:c r="J19" s="109" t="str">
        <x:v>F  Receiving &amp; Material Control</x:v>
      </x:c>
    </x:row>
    <x:row r="20" ht="24" customHeight="1">
      <x:c r="H20" s="110" t="str">
        <x:v>F  Receiving &amp; Material Control</x:v>
      </x:c>
      <x:c r="I20" s="111" t="str">
        <x:v>F  Receiving &amp; Material Control</x:v>
      </x:c>
      <x:c r="J20" s="112" t="str">
        <x:v>F  Receiving &amp; Material Control</x:v>
      </x:c>
    </x:row>
    <x:row r="21" ht="24" customHeight="1">
      <x:c r="I21" s="141" t="str">
        <x:v>v</x:v>
      </x:c>
    </x:row>
    <x:row r="22" ht="24" customHeight="1">
      <x:c r="H22" s="133" t="str">
        <x:v>G  Project Management</x:v>
      </x:c>
      <x:c r="I22" s="134" t="str">
        <x:v>G  Project Management</x:v>
      </x:c>
      <x:c r="J22" s="135" t="str">
        <x:v>G  Project Management</x:v>
      </x:c>
    </x:row>
    <x:row r="23" ht="24" customHeight="1">
      <x:c r="H23" s="136" t="str">
        <x:v>G  Project Management</x:v>
      </x:c>
      <x:c r="I23" s="137" t="str">
        <x:v>G  Project Management</x:v>
      </x:c>
      <x:c r="J23" s="138" t="str">
        <x:v>G  Project Management</x:v>
      </x:c>
    </x:row>
    <x:row r="24" ht="24" customHeight="1"/>
    <x:row r="25" ht="24" customHeight="1">
      <x:c r="B25" s="143" t="str">
        <x:v>G branches into the primary manufacturing work centers</x:v>
      </x:c>
    </x:row>
    <x:row r="26" ht="24" customHeight="1"/>
    <x:row r="27" ht="24" customHeight="1">
      <x:c r="B27" s="81" t="str">
        <x:v>H  Laser &amp; Waterjet</x:v>
      </x:c>
      <x:c r="C27" s="82" t="str">
        <x:v>H  Laser &amp; Waterjet</x:v>
      </x:c>
      <x:c r="D27" s="83" t="str">
        <x:v>H  Laser &amp; Waterjet</x:v>
      </x:c>
      <x:c r="F27" s="81" t="str">
        <x:v>I  Bending</x:v>
      </x:c>
      <x:c r="G27" s="82" t="str">
        <x:v>I  Bending</x:v>
      </x:c>
      <x:c r="H27" s="83" t="str">
        <x:v>I  Bending</x:v>
      </x:c>
      <x:c r="J27" s="81" t="str">
        <x:v>J  Machining</x:v>
      </x:c>
      <x:c r="K27" s="82" t="str">
        <x:v>J  Machining</x:v>
      </x:c>
      <x:c r="L27" s="83" t="str">
        <x:v>J  Machining</x:v>
      </x:c>
      <x:c r="N27" s="81" t="str">
        <x:v>K  Welding</x:v>
      </x:c>
      <x:c r="O27" s="82" t="str">
        <x:v>K  Welding</x:v>
      </x:c>
      <x:c r="P27" s="83" t="str">
        <x:v>K  Welding</x:v>
      </x:c>
    </x:row>
    <x:row r="28" ht="24" customHeight="1">
      <x:c r="B28" s="84" t="str">
        <x:v>H  Laser &amp; Waterjet</x:v>
      </x:c>
      <x:c r="C28" s="85" t="str">
        <x:v>H  Laser &amp; Waterjet</x:v>
      </x:c>
      <x:c r="D28" s="86" t="str">
        <x:v>H  Laser &amp; Waterjet</x:v>
      </x:c>
      <x:c r="F28" s="84" t="str">
        <x:v>I  Bending</x:v>
      </x:c>
      <x:c r="G28" s="85" t="str">
        <x:v>I  Bending</x:v>
      </x:c>
      <x:c r="H28" s="86" t="str">
        <x:v>I  Bending</x:v>
      </x:c>
      <x:c r="J28" s="84" t="str">
        <x:v>J  Machining</x:v>
      </x:c>
      <x:c r="K28" s="85" t="str">
        <x:v>J  Machining</x:v>
      </x:c>
      <x:c r="L28" s="86" t="str">
        <x:v>J  Machining</x:v>
      </x:c>
      <x:c r="N28" s="84" t="str">
        <x:v>K  Welding</x:v>
      </x:c>
      <x:c r="O28" s="85" t="str">
        <x:v>K  Welding</x:v>
      </x:c>
      <x:c r="P28" s="86" t="str">
        <x:v>K  Welding</x:v>
      </x:c>
    </x:row>
    <x:row r="29" ht="24" customHeight="1"/>
    <x:row r="30" ht="24" customHeight="1">
      <x:c r="B30" s="143" t="str">
        <x:v>H, I, J, and K all feed L</x:v>
      </x:c>
    </x:row>
    <x:row r="31" ht="24" customHeight="1"/>
    <x:row r="32" ht="24" customHeight="1">
      <x:c r="H32" s="163" t="str">
        <x:v>L  Grinding &amp; Finishing</x:v>
      </x:c>
      <x:c r="I32" s="164" t="str">
        <x:v>L  Grinding &amp; Finishing</x:v>
      </x:c>
      <x:c r="J32" s="165" t="str">
        <x:v>L  Grinding &amp; Finishing</x:v>
      </x:c>
    </x:row>
    <x:row r="33" ht="24" customHeight="1">
      <x:c r="H33" s="166" t="str">
        <x:v>L  Grinding &amp; Finishing</x:v>
      </x:c>
      <x:c r="I33" s="167" t="str">
        <x:v>L  Grinding &amp; Finishing</x:v>
      </x:c>
      <x:c r="J33" s="168" t="str">
        <x:v>L  Grinding &amp; Finishing</x:v>
      </x:c>
    </x:row>
    <x:row r="34" ht="24" customHeight="1">
      <x:c r="I34" s="141" t="str">
        <x:v>v</x:v>
      </x:c>
    </x:row>
    <x:row r="35" ht="24" customHeight="1">
      <x:c r="H35" s="163" t="str">
        <x:v>M  Coatings</x:v>
      </x:c>
      <x:c r="I35" s="164" t="str">
        <x:v>M  Coatings</x:v>
      </x:c>
      <x:c r="J35" s="165" t="str">
        <x:v>M  Coatings</x:v>
      </x:c>
    </x:row>
    <x:row r="36" ht="24" customHeight="1">
      <x:c r="H36" s="166" t="str">
        <x:v>M  Coatings</x:v>
      </x:c>
      <x:c r="I36" s="167" t="str">
        <x:v>M  Coatings</x:v>
      </x:c>
      <x:c r="J36" s="168" t="str">
        <x:v>M  Coatings</x:v>
      </x:c>
    </x:row>
    <x:row r="37" ht="24" customHeight="1">
      <x:c r="I37" s="141" t="str">
        <x:v>v</x:v>
      </x:c>
    </x:row>
    <x:row r="38" ht="24" customHeight="1">
      <x:c r="H38" s="163" t="str">
        <x:v>N  Marking</x:v>
      </x:c>
      <x:c r="I38" s="164" t="str">
        <x:v>N  Marking</x:v>
      </x:c>
      <x:c r="J38" s="165" t="str">
        <x:v>N  Marking</x:v>
      </x:c>
    </x:row>
    <x:row r="39" ht="24" customHeight="1">
      <x:c r="H39" s="166" t="str">
        <x:v>N  Marking</x:v>
      </x:c>
      <x:c r="I39" s="167" t="str">
        <x:v>N  Marking</x:v>
      </x:c>
      <x:c r="J39" s="168" t="str">
        <x:v>N  Marking</x:v>
      </x:c>
    </x:row>
    <x:row r="40" ht="24" customHeight="1">
      <x:c r="I40" s="141" t="str">
        <x:v>v</x:v>
      </x:c>
    </x:row>
    <x:row r="41" ht="24" customHeight="1">
      <x:c r="H41" s="133" t="str">
        <x:v>O  Assembly</x:v>
      </x:c>
      <x:c r="I41" s="134" t="str">
        <x:v>O  Assembly</x:v>
      </x:c>
      <x:c r="J41" s="135" t="str">
        <x:v>O  Assembly</x:v>
      </x:c>
    </x:row>
    <x:row r="42" ht="24" customHeight="1">
      <x:c r="H42" s="136" t="str">
        <x:v>O  Assembly</x:v>
      </x:c>
      <x:c r="I42" s="137" t="str">
        <x:v>O  Assembly</x:v>
      </x:c>
      <x:c r="J42" s="138" t="str">
        <x:v>O  Assembly</x:v>
      </x:c>
    </x:row>
    <x:row r="43" ht="24" customHeight="1">
      <x:c r="I43" s="141" t="str">
        <x:v>v</x:v>
      </x:c>
    </x:row>
    <x:row r="44" ht="24" customHeight="1">
      <x:c r="H44" s="133" t="str">
        <x:v>P  Testing</x:v>
      </x:c>
      <x:c r="I44" s="134" t="str">
        <x:v>P  Testing</x:v>
      </x:c>
      <x:c r="J44" s="135" t="str">
        <x:v>P  Testing</x:v>
      </x:c>
    </x:row>
    <x:row r="45" ht="24" customHeight="1">
      <x:c r="H45" s="136" t="str">
        <x:v>P  Testing</x:v>
      </x:c>
      <x:c r="I45" s="137" t="str">
        <x:v>P  Testing</x:v>
      </x:c>
      <x:c r="J45" s="138" t="str">
        <x:v>P  Testing</x:v>
      </x:c>
    </x:row>
    <x:row r="46" ht="24" customHeight="1">
      <x:c r="I46" s="141" t="str">
        <x:v>v</x:v>
      </x:c>
    </x:row>
    <x:row r="47" ht="24" customHeight="1">
      <x:c r="H47" s="107" t="str">
        <x:v>Q  Final Quality Assurance</x:v>
      </x:c>
      <x:c r="I47" s="108" t="str">
        <x:v>Q  Final Quality Assurance</x:v>
      </x:c>
      <x:c r="J47" s="109" t="str">
        <x:v>Q  Final Quality Assurance</x:v>
      </x:c>
    </x:row>
    <x:row r="48" ht="24" customHeight="1">
      <x:c r="H48" s="110" t="str">
        <x:v>Q  Final Quality Assurance</x:v>
      </x:c>
      <x:c r="I48" s="111" t="str">
        <x:v>Q  Final Quality Assurance</x:v>
      </x:c>
      <x:c r="J48" s="112" t="str">
        <x:v>Q  Final Quality Assurance</x:v>
      </x:c>
    </x:row>
    <x:row r="49" ht="24" customHeight="1">
      <x:c r="I49" s="141" t="str">
        <x:v>v</x:v>
      </x:c>
    </x:row>
    <x:row r="50" ht="24" customHeight="1">
      <x:c r="H50" s="55" t="str">
        <x:v>R  Shipping &amp; Customer Delivery</x:v>
      </x:c>
      <x:c r="I50" s="56" t="str">
        <x:v>R  Shipping &amp; Customer Delivery</x:v>
      </x:c>
      <x:c r="J50" s="57" t="str">
        <x:v>R  Shipping &amp; Customer Delivery</x:v>
      </x:c>
    </x:row>
    <x:row r="51" ht="24" customHeight="1">
      <x:c r="H51" s="58" t="str">
        <x:v>R  Shipping &amp; Customer Delivery</x:v>
      </x:c>
      <x:c r="I51" s="59" t="str">
        <x:v>R  Shipping &amp; Customer Delivery</x:v>
      </x:c>
      <x:c r="J51" s="60" t="str">
        <x:v>R  Shipping &amp; Customer Delivery</x:v>
      </x:c>
    </x:row>
    <x:row r="52" ht="24" customHeight="1"/>
    <x:row r="53" ht="24" customHeight="1"/>
    <x:row r="54" ht="24" customHeight="1"/>
    <x:row r="55" ht="24" customHeight="1"/>
  </x:sheetData>
  <x:mergeCells>
    <x:mergeCell ref="B2:P2"/>
    <x:mergeCell ref="H4:J5"/>
    <x:mergeCell ref="H7:J8"/>
    <x:mergeCell ref="H10:J11"/>
    <x:mergeCell ref="H13:J14"/>
    <x:mergeCell ref="H16:J17"/>
    <x:mergeCell ref="H19:J20"/>
    <x:mergeCell ref="H22:J23"/>
    <x:mergeCell ref="B25:P25"/>
    <x:mergeCell ref="B27:D28"/>
    <x:mergeCell ref="F27:H28"/>
    <x:mergeCell ref="J27:L28"/>
    <x:mergeCell ref="N27:P28"/>
    <x:mergeCell ref="B30:P30"/>
    <x:mergeCell ref="H32:J33"/>
    <x:mergeCell ref="H35:J36"/>
    <x:mergeCell ref="H38:J39"/>
    <x:mergeCell ref="H41:J42"/>
    <x:mergeCell ref="H44:J45"/>
    <x:mergeCell ref="H47:J48"/>
    <x:mergeCell ref="H50:J5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4" hidden="0" customWidth="1"/>
    <x:col min="4" max="4" width="24" hidden="0" customWidth="1"/>
    <x:col min="5" max="5" width="12" hidden="0" customWidth="1"/>
    <x:col min="6" max="6" width="18" hidden="0" customWidth="1"/>
    <x:col min="7" max="7" width="20" hidden="0" customWidth="1"/>
    <x:col min="8" max="8" width="16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3" hidden="0" customWidth="1"/>
    <x:col min="14" max="14" width="13" hidden="0" customWidth="1"/>
    <x:col min="15" max="15" width="18" hidden="0" customWidth="1"/>
    <x:col min="16" max="16" width="34" hidden="0" customWidth="1"/>
    <x:col min="17" max="17" width="46" hidden="0" customWidth="1"/>
    <x:col min="18" max="18" width="46" hidden="0" customWidth="1"/>
    <x:col min="19" max="19" width="34" hidden="0" customWidth="1"/>
  </x:cols>
  <x:sheetData>
    <x:row r="1">
      <x:c r="A1" s="11" t="str">
        <x:v>flowchart_key</x:v>
      </x:c>
      <x:c r="B1" s="11" t="str">
        <x:v>node_id</x:v>
      </x:c>
      <x:c r="C1" s="11" t="str">
        <x:v>label</x:v>
      </x:c>
      <x:c r="D1" s="11" t="str">
        <x:v>lane</x:v>
      </x:c>
      <x:c r="E1" s="11" t="str">
        <x:v>flow_stage</x:v>
      </x:c>
      <x:c r="F1" s="11" t="str">
        <x:v>node_role</x:v>
      </x:c>
      <x:c r="G1" s="11" t="str">
        <x:v>react_node_type</x:v>
      </x:c>
      <x:c r="H1" s="11" t="str">
        <x:v>status</x:v>
      </x:c>
      <x:c r="I1" s="11" t="str">
        <x:v>x</x:v>
      </x:c>
      <x:c r="J1" s="11" t="str">
        <x:v>y</x:v>
      </x:c>
      <x:c r="K1" s="11" t="str">
        <x:v>width</x:v>
      </x:c>
      <x:c r="L1" s="11" t="str">
        <x:v>height</x:v>
      </x:c>
      <x:c r="M1" s="11" t="str">
        <x:v>fill_color</x:v>
      </x:c>
      <x:c r="N1" s="11" t="str">
        <x:v>border_color</x:v>
      </x:c>
      <x:c r="O1" s="11" t="str">
        <x:v>parent_group</x:v>
      </x:c>
      <x:c r="P1" s="11" t="str">
        <x:v>detail_panel_title</x:v>
      </x:c>
      <x:c r="Q1" s="11" t="str">
        <x:v>inputs_summary</x:v>
      </x:c>
      <x:c r="R1" s="11" t="str">
        <x:v>outputs_summary</x:v>
      </x:c>
      <x:c r="S1" s="11" t="str">
        <x:v>notes</x:v>
      </x:c>
    </x:row>
    <x:row r="2">
      <x:c r="A2" s="21" t="str">
        <x:v>A</x:v>
      </x:c>
      <x:c r="B2" s="173" t="str">
        <x:v>sales_customer_opportunities</x:v>
      </x:c>
      <x:c r="C2" s="173" t="str">
        <x:v>Sales &amp; Customer Opportunities</x:v>
      </x:c>
      <x:c r="D2" s="173" t="str">
        <x:v>Sales &amp; Quoting</x:v>
      </x:c>
      <x:c r="E2" s="175" t="n">
        <x:v>1</x:v>
      </x:c>
      <x:c r="F2" s="173" t="str">
        <x:v>Input</x:v>
      </x:c>
      <x:c r="G2" s="173" t="str">
        <x:v>inputNode</x:v>
      </x:c>
      <x:c r="H2" s="173" t="str">
        <x:v>Current State</x:v>
      </x:c>
      <x:c r="I2" s="175" t="n">
        <x:v>600</x:v>
      </x:c>
      <x:c r="J2" s="175" t="n">
        <x:v>0</x:v>
      </x:c>
      <x:c r="K2" s="175" t="n">
        <x:v>280</x:v>
      </x:c>
      <x:c r="L2" s="175" t="n">
        <x:v>86</x:v>
      </x:c>
      <x:c r="M2" s="173" t="str">
        <x:v>#DBEAFE</x:v>
      </x:c>
      <x:c r="N2" s="173" t="str">
        <x:v>#2563EB</x:v>
      </x:c>
      <x:c r="O2" s="173" t="str">
        <x:v>Commercial</x:v>
      </x:c>
      <x:c r="P2" s="173" t="str">
        <x:v>Sales &amp; Customer Opportunities</x:v>
      </x:c>
      <x:c r="Q2" s="173" t="str">
        <x:v>Customer demand, RFQs, forecasts, repeat orders, market opportunities</x:v>
      </x:c>
      <x:c r="R2" s="173" t="str">
        <x:v>Qualified opportunity or RFQ package ready for estimating</x:v>
      </x:c>
      <x:c r="S2" s="22" t="str">
        <x:v>Directly maps to the Mermaid key shown in the flowchart.</x:v>
      </x:c>
    </x:row>
    <x:row r="3">
      <x:c r="A3" s="23" t="str">
        <x:v>B</x:v>
      </x:c>
      <x:c r="B3" s="174" t="str">
        <x:v>estimating_quoting</x:v>
      </x:c>
      <x:c r="C3" s="174" t="str">
        <x:v>Estimating &amp; Quoting</x:v>
      </x:c>
      <x:c r="D3" s="174" t="str">
        <x:v>Sales &amp; Quoting</x:v>
      </x:c>
      <x:c r="E3" s="176" t="n">
        <x:v>2</x:v>
      </x:c>
      <x:c r="F3" s="174" t="str">
        <x:v>Process</x:v>
      </x:c>
      <x:c r="G3" s="174" t="str">
        <x:v>processNode</x:v>
      </x:c>
      <x:c r="H3" s="174" t="str">
        <x:v>Current State</x:v>
      </x:c>
      <x:c r="I3" s="176" t="n">
        <x:v>600</x:v>
      </x:c>
      <x:c r="J3" s="176" t="n">
        <x:v>120</x:v>
      </x:c>
      <x:c r="K3" s="176" t="n">
        <x:v>280</x:v>
      </x:c>
      <x:c r="L3" s="176" t="n">
        <x:v>86</x:v>
      </x:c>
      <x:c r="M3" s="174" t="str">
        <x:v>#DBEAFE</x:v>
      </x:c>
      <x:c r="N3" s="174" t="str">
        <x:v>#2563EB</x:v>
      </x:c>
      <x:c r="O3" s="174" t="str">
        <x:v>Commercial</x:v>
      </x:c>
      <x:c r="P3" s="174" t="str">
        <x:v>Estimating &amp; Quoting</x:v>
      </x:c>
      <x:c r="Q3" s="174" t="str">
        <x:v>RFQ package, drawings, specifications, historical pricing, material assumptions</x:v>
      </x:c>
      <x:c r="R3" s="174" t="str">
        <x:v>Customer quote, assumptions, lead time, exclusions, follow-up tasks</x:v>
      </x:c>
      <x:c r="S3" s="24" t="str">
        <x:v>Directly maps to the Mermaid key shown in the flowchart.</x:v>
      </x:c>
    </x:row>
    <x:row r="4">
      <x:c r="A4" s="23" t="str">
        <x:v>C</x:v>
      </x:c>
      <x:c r="B4" s="174" t="str">
        <x:v>order_review_processing</x:v>
      </x:c>
      <x:c r="C4" s="174" t="str">
        <x:v>Order Review &amp; Processing</x:v>
      </x:c>
      <x:c r="D4" s="174" t="str">
        <x:v>Order Processing</x:v>
      </x:c>
      <x:c r="E4" s="176" t="n">
        <x:v>3</x:v>
      </x:c>
      <x:c r="F4" s="174" t="str">
        <x:v>Process</x:v>
      </x:c>
      <x:c r="G4" s="174" t="str">
        <x:v>processNode</x:v>
      </x:c>
      <x:c r="H4" s="174" t="str">
        <x:v>Current State</x:v>
      </x:c>
      <x:c r="I4" s="176" t="n">
        <x:v>600</x:v>
      </x:c>
      <x:c r="J4" s="176" t="n">
        <x:v>240</x:v>
      </x:c>
      <x:c r="K4" s="176" t="n">
        <x:v>280</x:v>
      </x:c>
      <x:c r="L4" s="176" t="n">
        <x:v>86</x:v>
      </x:c>
      <x:c r="M4" s="174" t="str">
        <x:v>#DBEAFE</x:v>
      </x:c>
      <x:c r="N4" s="174" t="str">
        <x:v>#2563EB</x:v>
      </x:c>
      <x:c r="O4" s="174" t="str">
        <x:v>Order Intake</x:v>
      </x:c>
      <x:c r="P4" s="174" t="str">
        <x:v>Order Review &amp; Processing</x:v>
      </x:c>
      <x:c r="Q4" s="174" t="str">
        <x:v>Customer purchase order, accepted quote, drawings, specifications, delivery requirements</x:v>
      </x:c>
      <x:c r="R4" s="174" t="str">
        <x:v>Accepted order, order record, due dates, contract requirements, kickoff package</x:v>
      </x:c>
      <x:c r="S4" s="24" t="str">
        <x:v>Directly maps to the Mermaid key shown in the flowchart.</x:v>
      </x:c>
    </x:row>
    <x:row r="5">
      <x:c r="A5" s="23" t="str">
        <x:v>D</x:v>
      </x:c>
      <x:c r="B5" s="174" t="str">
        <x:v>engineering_production_planning</x:v>
      </x:c>
      <x:c r="C5" s="174" t="str">
        <x:v>Engineering &amp; Production Planning</x:v>
      </x:c>
      <x:c r="D5" s="174" t="str">
        <x:v>Engineering &amp; Planning</x:v>
      </x:c>
      <x:c r="E5" s="176" t="n">
        <x:v>4</x:v>
      </x:c>
      <x:c r="F5" s="174" t="str">
        <x:v>Process</x:v>
      </x:c>
      <x:c r="G5" s="174" t="str">
        <x:v>processNode</x:v>
      </x:c>
      <x:c r="H5" s="174" t="str">
        <x:v>Current State</x:v>
      </x:c>
      <x:c r="I5" s="176" t="n">
        <x:v>600</x:v>
      </x:c>
      <x:c r="J5" s="176" t="n">
        <x:v>360</x:v>
      </x:c>
      <x:c r="K5" s="176" t="n">
        <x:v>280</x:v>
      </x:c>
      <x:c r="L5" s="176" t="n">
        <x:v>86</x:v>
      </x:c>
      <x:c r="M5" s="174" t="str">
        <x:v>#D1FAE5</x:v>
      </x:c>
      <x:c r="N5" s="174" t="str">
        <x:v>#047857</x:v>
      </x:c>
      <x:c r="O5" s="174" t="str">
        <x:v>Pre-Production</x:v>
      </x:c>
      <x:c r="P5" s="174" t="str">
        <x:v>Engineering &amp; Production Planning</x:v>
      </x:c>
      <x:c r="Q5" s="174" t="str">
        <x:v>Order package, drawings, specifications, BOM requirements, customer notes</x:v>
      </x:c>
      <x:c r="R5" s="174" t="str">
        <x:v>Production-ready job package, routings, BOMs, work instructions, programming requests</x:v>
      </x:c>
      <x:c r="S5" s="24" t="str">
        <x:v>Directly maps to the Mermaid key shown in the flowchart.</x:v>
      </x:c>
    </x:row>
    <x:row r="6">
      <x:c r="A6" s="23" t="str">
        <x:v>E</x:v>
      </x:c>
      <x:c r="B6" s="174" t="str">
        <x:v>purchasing_supplier_management</x:v>
      </x:c>
      <x:c r="C6" s="174" t="str">
        <x:v>Purchasing &amp; Supplier Management</x:v>
      </x:c>
      <x:c r="D6" s="174" t="str">
        <x:v>Supply Chain</x:v>
      </x:c>
      <x:c r="E6" s="176" t="n">
        <x:v>5</x:v>
      </x:c>
      <x:c r="F6" s="174" t="str">
        <x:v>Process</x:v>
      </x:c>
      <x:c r="G6" s="174" t="str">
        <x:v>processNode</x:v>
      </x:c>
      <x:c r="H6" s="174" t="str">
        <x:v>Current State</x:v>
      </x:c>
      <x:c r="I6" s="176" t="n">
        <x:v>600</x:v>
      </x:c>
      <x:c r="J6" s="176" t="n">
        <x:v>480</x:v>
      </x:c>
      <x:c r="K6" s="176" t="n">
        <x:v>280</x:v>
      </x:c>
      <x:c r="L6" s="176" t="n">
        <x:v>86</x:v>
      </x:c>
      <x:c r="M6" s="174" t="str">
        <x:v>#FFEDD5</x:v>
      </x:c>
      <x:c r="N6" s="174" t="str">
        <x:v>#EA580C</x:v>
      </x:c>
      <x:c r="O6" s="174" t="str">
        <x:v>Supply Chain</x:v>
      </x:c>
      <x:c r="P6" s="174" t="str">
        <x:v>Purchasing &amp; Supplier Management</x:v>
      </x:c>
      <x:c r="Q6" s="174" t="str">
        <x:v>BOM, material requirements, supplier requirements, due dates, certifications needed</x:v>
      </x:c>
      <x:c r="R6" s="174" t="str">
        <x:v>Purchase orders, supplier confirmations, material ETA, outside-process plan</x:v>
      </x:c>
      <x:c r="S6" s="24" t="str">
        <x:v>Directly maps to the Mermaid key shown in the flowchart.</x:v>
      </x:c>
    </x:row>
    <x:row r="7">
      <x:c r="A7" s="23" t="str">
        <x:v>F</x:v>
      </x:c>
      <x:c r="B7" s="174" t="str">
        <x:v>receiving_material_control</x:v>
      </x:c>
      <x:c r="C7" s="174" t="str">
        <x:v>Receiving &amp; Material Control</x:v>
      </x:c>
      <x:c r="D7" s="174" t="str">
        <x:v>Supply Chain</x:v>
      </x:c>
      <x:c r="E7" s="176" t="n">
        <x:v>6</x:v>
      </x:c>
      <x:c r="F7" s="174" t="str">
        <x:v>Process</x:v>
      </x:c>
      <x:c r="G7" s="174" t="str">
        <x:v>processNode</x:v>
      </x:c>
      <x:c r="H7" s="174" t="str">
        <x:v>Current State</x:v>
      </x:c>
      <x:c r="I7" s="176" t="n">
        <x:v>600</x:v>
      </x:c>
      <x:c r="J7" s="176" t="n">
        <x:v>600</x:v>
      </x:c>
      <x:c r="K7" s="176" t="n">
        <x:v>280</x:v>
      </x:c>
      <x:c r="L7" s="176" t="n">
        <x:v>86</x:v>
      </x:c>
      <x:c r="M7" s="174" t="str">
        <x:v>#FFEDD5</x:v>
      </x:c>
      <x:c r="N7" s="174" t="str">
        <x:v>#EA580C</x:v>
      </x:c>
      <x:c r="O7" s="174" t="str">
        <x:v>Supply Chain</x:v>
      </x:c>
      <x:c r="P7" s="174" t="str">
        <x:v>Receiving &amp; Material Control</x:v>
      </x:c>
      <x:c r="Q7" s="174" t="str">
        <x:v>Incoming material, packing slips, purchase orders, certificates, outside-process returns</x:v>
      </x:c>
      <x:c r="R7" s="174" t="str">
        <x:v>Available material, receiving records, cert package, inventory transaction, discrepancies</x:v>
      </x:c>
      <x:c r="S7" s="24" t="str">
        <x:v>Directly maps to the Mermaid key shown in the flowchart.</x:v>
      </x:c>
    </x:row>
    <x:row r="8">
      <x:c r="A8" s="23" t="str">
        <x:v>G</x:v>
      </x:c>
      <x:c r="B8" s="174" t="str">
        <x:v>project_management</x:v>
      </x:c>
      <x:c r="C8" s="174" t="str">
        <x:v>Project Management</x:v>
      </x:c>
      <x:c r="D8" s="174" t="str">
        <x:v>Project Management</x:v>
      </x:c>
      <x:c r="E8" s="176" t="n">
        <x:v>7</x:v>
      </x:c>
      <x:c r="F8" s="174" t="str">
        <x:v>Control</x:v>
      </x:c>
      <x:c r="G8" s="174" t="str">
        <x:v>controlNode</x:v>
      </x:c>
      <x:c r="H8" s="174" t="str">
        <x:v>Current State</x:v>
      </x:c>
      <x:c r="I8" s="176" t="n">
        <x:v>600</x:v>
      </x:c>
      <x:c r="J8" s="176" t="n">
        <x:v>720</x:v>
      </x:c>
      <x:c r="K8" s="176" t="n">
        <x:v>280</x:v>
      </x:c>
      <x:c r="L8" s="176" t="n">
        <x:v>86</x:v>
      </x:c>
      <x:c r="M8" s="174" t="str">
        <x:v>#EDE9FE</x:v>
      </x:c>
      <x:c r="N8" s="174" t="str">
        <x:v>#6D28D9</x:v>
      </x:c>
      <x:c r="O8" s="174" t="str">
        <x:v>Execution Control</x:v>
      </x:c>
      <x:c r="P8" s="174" t="str">
        <x:v>Project Management</x:v>
      </x:c>
      <x:c r="Q8" s="174" t="str">
        <x:v>Released job, schedule, material status, customer commitments, risk/issues list</x:v>
      </x:c>
      <x:c r="R8" s="174" t="str">
        <x:v>Released/controlled shop work, schedule updates, status reporting, issue resolution</x:v>
      </x:c>
      <x:c r="S8" s="24" t="str">
        <x:v>Directly maps to the Mermaid key shown in the flowchart.</x:v>
      </x:c>
    </x:row>
    <x:row r="9">
      <x:c r="A9" s="23" t="str">
        <x:v>H</x:v>
      </x:c>
      <x:c r="B9" s="174" t="str">
        <x:v>laser_waterjet</x:v>
      </x:c>
      <x:c r="C9" s="174" t="str">
        <x:v>Laser &amp; Waterjet</x:v>
      </x:c>
      <x:c r="D9" s="174" t="str">
        <x:v>Manufacturing</x:v>
      </x:c>
      <x:c r="E9" s="176" t="n">
        <x:v>8</x:v>
      </x:c>
      <x:c r="F9" s="174" t="str">
        <x:v>Work Center</x:v>
      </x:c>
      <x:c r="G9" s="174" t="str">
        <x:v>manufacturingNode</x:v>
      </x:c>
      <x:c r="H9" s="174" t="str">
        <x:v>Current State</x:v>
      </x:c>
      <x:c r="I9" s="176" t="n">
        <x:v>60</x:v>
      </x:c>
      <x:c r="J9" s="176" t="n">
        <x:v>900</x:v>
      </x:c>
      <x:c r="K9" s="176" t="n">
        <x:v>250</x:v>
      </x:c>
      <x:c r="L9" s="176" t="n">
        <x:v>86</x:v>
      </x:c>
      <x:c r="M9" s="174" t="str">
        <x:v>#D1FAE5</x:v>
      </x:c>
      <x:c r="N9" s="174" t="str">
        <x:v>#047857</x:v>
      </x:c>
      <x:c r="O9" s="174" t="str">
        <x:v>Fabrication</x:v>
      </x:c>
      <x:c r="P9" s="174" t="str">
        <x:v>Laser &amp; Waterjet</x:v>
      </x:c>
      <x:c r="Q9" s="174" t="str">
        <x:v>Released cut files, material, nesting plan, job traveler, inspection criteria</x:v>
      </x:c>
      <x:c r="R9" s="174" t="str">
        <x:v>Cut parts, remnants/scrap data, completion status, first-piece/in-process records</x:v>
      </x:c>
      <x:c r="S9" s="24" t="str">
        <x:v>Directly maps to the Mermaid key shown in the flowchart.</x:v>
      </x:c>
    </x:row>
    <x:row r="10">
      <x:c r="A10" s="23" t="str">
        <x:v>I</x:v>
      </x:c>
      <x:c r="B10" s="174" t="str">
        <x:v>bending</x:v>
      </x:c>
      <x:c r="C10" s="174" t="str">
        <x:v>Bending</x:v>
      </x:c>
      <x:c r="D10" s="174" t="str">
        <x:v>Manufacturing</x:v>
      </x:c>
      <x:c r="E10" s="176" t="n">
        <x:v>8</x:v>
      </x:c>
      <x:c r="F10" s="174" t="str">
        <x:v>Work Center</x:v>
      </x:c>
      <x:c r="G10" s="174" t="str">
        <x:v>manufacturingNode</x:v>
      </x:c>
      <x:c r="H10" s="174" t="str">
        <x:v>Current State</x:v>
      </x:c>
      <x:c r="I10" s="176" t="n">
        <x:v>420</x:v>
      </x:c>
      <x:c r="J10" s="176" t="n">
        <x:v>900</x:v>
      </x:c>
      <x:c r="K10" s="176" t="n">
        <x:v>250</x:v>
      </x:c>
      <x:c r="L10" s="176" t="n">
        <x:v>86</x:v>
      </x:c>
      <x:c r="M10" s="174" t="str">
        <x:v>#D1FAE5</x:v>
      </x:c>
      <x:c r="N10" s="174" t="str">
        <x:v>#047857</x:v>
      </x:c>
      <x:c r="O10" s="174" t="str">
        <x:v>Fabrication</x:v>
      </x:c>
      <x:c r="P10" s="174" t="str">
        <x:v>Bending</x:v>
      </x:c>
      <x:c r="Q10" s="174" t="str">
        <x:v>Cut parts, bend programs, tooling requirements, drawings, setup instructions</x:v>
      </x:c>
      <x:c r="R10" s="174" t="str">
        <x:v>Formed parts, production status, setup notes, dimensional checks</x:v>
      </x:c>
      <x:c r="S10" s="24" t="str">
        <x:v>Directly maps to the Mermaid key shown in the flowchart.</x:v>
      </x:c>
    </x:row>
    <x:row r="11">
      <x:c r="A11" s="23" t="str">
        <x:v>J</x:v>
      </x:c>
      <x:c r="B11" s="174" t="str">
        <x:v>machining</x:v>
      </x:c>
      <x:c r="C11" s="174" t="str">
        <x:v>Machining</x:v>
      </x:c>
      <x:c r="D11" s="174" t="str">
        <x:v>Manufacturing</x:v>
      </x:c>
      <x:c r="E11" s="176" t="n">
        <x:v>8</x:v>
      </x:c>
      <x:c r="F11" s="174" t="str">
        <x:v>Work Center</x:v>
      </x:c>
      <x:c r="G11" s="174" t="str">
        <x:v>manufacturingNode</x:v>
      </x:c>
      <x:c r="H11" s="174" t="str">
        <x:v>Current State</x:v>
      </x:c>
      <x:c r="I11" s="176" t="n">
        <x:v>780</x:v>
      </x:c>
      <x:c r="J11" s="176" t="n">
        <x:v>900</x:v>
      </x:c>
      <x:c r="K11" s="176" t="n">
        <x:v>250</x:v>
      </x:c>
      <x:c r="L11" s="176" t="n">
        <x:v>86</x:v>
      </x:c>
      <x:c r="M11" s="174" t="str">
        <x:v>#D1FAE5</x:v>
      </x:c>
      <x:c r="N11" s="174" t="str">
        <x:v>#047857</x:v>
      </x:c>
      <x:c r="O11" s="174" t="str">
        <x:v>Fabrication</x:v>
      </x:c>
      <x:c r="P11" s="174" t="str">
        <x:v>Machining</x:v>
      </x:c>
      <x:c r="Q11" s="174" t="str">
        <x:v>Material/parts, CNC programs, tooling, drawings, inspection requirements</x:v>
      </x:c>
      <x:c r="R11" s="174" t="str">
        <x:v>Machined parts, inspection records, setup/cycle notes, work-center status</x:v>
      </x:c>
      <x:c r="S11" s="24" t="str">
        <x:v>Directly maps to the Mermaid key shown in the flowchart.</x:v>
      </x:c>
    </x:row>
    <x:row r="12">
      <x:c r="A12" s="23" t="str">
        <x:v>K</x:v>
      </x:c>
      <x:c r="B12" s="174" t="str">
        <x:v>welding</x:v>
      </x:c>
      <x:c r="C12" s="174" t="str">
        <x:v>Welding</x:v>
      </x:c>
      <x:c r="D12" s="174" t="str">
        <x:v>Manufacturing</x:v>
      </x:c>
      <x:c r="E12" s="176" t="n">
        <x:v>8</x:v>
      </x:c>
      <x:c r="F12" s="174" t="str">
        <x:v>Work Center</x:v>
      </x:c>
      <x:c r="G12" s="174" t="str">
        <x:v>manufacturingNode</x:v>
      </x:c>
      <x:c r="H12" s="174" t="str">
        <x:v>Current State</x:v>
      </x:c>
      <x:c r="I12" s="176" t="n">
        <x:v>1140</x:v>
      </x:c>
      <x:c r="J12" s="176" t="n">
        <x:v>900</x:v>
      </x:c>
      <x:c r="K12" s="176" t="n">
        <x:v>250</x:v>
      </x:c>
      <x:c r="L12" s="176" t="n">
        <x:v>86</x:v>
      </x:c>
      <x:c r="M12" s="174" t="str">
        <x:v>#D1FAE5</x:v>
      </x:c>
      <x:c r="N12" s="174" t="str">
        <x:v>#047857</x:v>
      </x:c>
      <x:c r="O12" s="174" t="str">
        <x:v>Fabrication</x:v>
      </x:c>
      <x:c r="P12" s="174" t="str">
        <x:v>Welding</x:v>
      </x:c>
      <x:c r="Q12" s="174" t="str">
        <x:v>Cut/formed/machined parts, weld procedures, fixtures, qualifications, drawings</x:v>
      </x:c>
      <x:c r="R12" s="174" t="str">
        <x:v>Welded assemblies, weld records, inspection status, rework/nonconformance triggers</x:v>
      </x:c>
      <x:c r="S12" s="24" t="str">
        <x:v>Directly maps to the Mermaid key shown in the flowchart.</x:v>
      </x:c>
    </x:row>
    <x:row r="13">
      <x:c r="A13" s="23" t="str">
        <x:v>L</x:v>
      </x:c>
      <x:c r="B13" s="174" t="str">
        <x:v>grinding_finishing</x:v>
      </x:c>
      <x:c r="C13" s="174" t="str">
        <x:v>Grinding &amp; Finishing</x:v>
      </x:c>
      <x:c r="D13" s="174" t="str">
        <x:v>Finishing &amp; Special Processes</x:v>
      </x:c>
      <x:c r="E13" s="176" t="n">
        <x:v>9</x:v>
      </x:c>
      <x:c r="F13" s="174" t="str">
        <x:v>Convergence</x:v>
      </x:c>
      <x:c r="G13" s="174" t="str">
        <x:v>processNode</x:v>
      </x:c>
      <x:c r="H13" s="174" t="str">
        <x:v>Current State</x:v>
      </x:c>
      <x:c r="I13" s="176" t="n">
        <x:v>600</x:v>
      </x:c>
      <x:c r="J13" s="176" t="n">
        <x:v>1080</x:v>
      </x:c>
      <x:c r="K13" s="176" t="n">
        <x:v>280</x:v>
      </x:c>
      <x:c r="L13" s="176" t="n">
        <x:v>86</x:v>
      </x:c>
      <x:c r="M13" s="174" t="str">
        <x:v>#F1F5F9</x:v>
      </x:c>
      <x:c r="N13" s="174" t="str">
        <x:v>#475569</x:v>
      </x:c>
      <x:c r="O13" s="174" t="str">
        <x:v>Finishing</x:v>
      </x:c>
      <x:c r="P13" s="174" t="str">
        <x:v>Grinding &amp; Finishing</x:v>
      </x:c>
      <x:c r="Q13" s="174" t="str">
        <x:v>Fabricated parts/assemblies, finish requirements, rework notes, inspection requirements</x:v>
      </x:c>
      <x:c r="R13" s="174" t="str">
        <x:v>Finished parts ready for coating/marking/assembly, finish status, rework notes</x:v>
      </x:c>
      <x:c r="S13" s="24" t="str">
        <x:v>Directly maps to the Mermaid key shown in the flowchart.</x:v>
      </x:c>
    </x:row>
    <x:row r="14">
      <x:c r="A14" s="23" t="str">
        <x:v>M</x:v>
      </x:c>
      <x:c r="B14" s="174" t="str">
        <x:v>coatings</x:v>
      </x:c>
      <x:c r="C14" s="174" t="str">
        <x:v>Coatings</x:v>
      </x:c>
      <x:c r="D14" s="174" t="str">
        <x:v>Finishing &amp; Special Processes</x:v>
      </x:c>
      <x:c r="E14" s="176" t="n">
        <x:v>10</x:v>
      </x:c>
      <x:c r="F14" s="174" t="str">
        <x:v>Process</x:v>
      </x:c>
      <x:c r="G14" s="174" t="str">
        <x:v>processNode</x:v>
      </x:c>
      <x:c r="H14" s="174" t="str">
        <x:v>Current State</x:v>
      </x:c>
      <x:c r="I14" s="176" t="n">
        <x:v>600</x:v>
      </x:c>
      <x:c r="J14" s="176" t="n">
        <x:v>1200</x:v>
      </x:c>
      <x:c r="K14" s="176" t="n">
        <x:v>280</x:v>
      </x:c>
      <x:c r="L14" s="176" t="n">
        <x:v>86</x:v>
      </x:c>
      <x:c r="M14" s="174" t="str">
        <x:v>#F1F5F9</x:v>
      </x:c>
      <x:c r="N14" s="174" t="str">
        <x:v>#475569</x:v>
      </x:c>
      <x:c r="O14" s="174" t="str">
        <x:v>Finishing</x:v>
      </x:c>
      <x:c r="P14" s="174" t="str">
        <x:v>Coatings</x:v>
      </x:c>
      <x:c r="Q14" s="174" t="str">
        <x:v>Finished parts, coating specifications, color/finish requirements, supplier/internal route</x:v>
      </x:c>
      <x:c r="R14" s="174" t="str">
        <x:v>Coated parts, coating records/certs, status update, discrepancy record if needed</x:v>
      </x:c>
      <x:c r="S14" s="24" t="str">
        <x:v>Directly maps to the Mermaid key shown in the flowchart.</x:v>
      </x:c>
    </x:row>
    <x:row r="15">
      <x:c r="A15" s="23" t="str">
        <x:v>N</x:v>
      </x:c>
      <x:c r="B15" s="174" t="str">
        <x:v>marking</x:v>
      </x:c>
      <x:c r="C15" s="174" t="str">
        <x:v>Marking</x:v>
      </x:c>
      <x:c r="D15" s="174" t="str">
        <x:v>Finishing &amp; Special Processes</x:v>
      </x:c>
      <x:c r="E15" s="176" t="n">
        <x:v>11</x:v>
      </x:c>
      <x:c r="F15" s="174" t="str">
        <x:v>Process</x:v>
      </x:c>
      <x:c r="G15" s="174" t="str">
        <x:v>processNode</x:v>
      </x:c>
      <x:c r="H15" s="174" t="str">
        <x:v>Current State</x:v>
      </x:c>
      <x:c r="I15" s="176" t="n">
        <x:v>600</x:v>
      </x:c>
      <x:c r="J15" s="176" t="n">
        <x:v>1320</x:v>
      </x:c>
      <x:c r="K15" s="176" t="n">
        <x:v>280</x:v>
      </x:c>
      <x:c r="L15" s="176" t="n">
        <x:v>86</x:v>
      </x:c>
      <x:c r="M15" s="174" t="str">
        <x:v>#F1F5F9</x:v>
      </x:c>
      <x:c r="N15" s="174" t="str">
        <x:v>#475569</x:v>
      </x:c>
      <x:c r="O15" s="174" t="str">
        <x:v>Finishing</x:v>
      </x:c>
      <x:c r="P15" s="174" t="str">
        <x:v>Marking</x:v>
      </x:c>
      <x:c r="Q15" s="174" t="str">
        <x:v>Coated/finished parts, marking requirements, artwork, labels, serialization data</x:v>
      </x:c>
      <x:c r="R15" s="174" t="str">
        <x:v>Marked parts, marking records, serialization/trace data, inspection status</x:v>
      </x:c>
      <x:c r="S15" s="24" t="str">
        <x:v>Directly maps to the Mermaid key shown in the flowchart.</x:v>
      </x:c>
    </x:row>
    <x:row r="16">
      <x:c r="A16" s="23" t="str">
        <x:v>O</x:v>
      </x:c>
      <x:c r="B16" s="174" t="str">
        <x:v>assembly</x:v>
      </x:c>
      <x:c r="C16" s="174" t="str">
        <x:v>Assembly</x:v>
      </x:c>
      <x:c r="D16" s="174" t="str">
        <x:v>Assembly &amp; Test</x:v>
      </x:c>
      <x:c r="E16" s="176" t="n">
        <x:v>12</x:v>
      </x:c>
      <x:c r="F16" s="174" t="str">
        <x:v>Process</x:v>
      </x:c>
      <x:c r="G16" s="174" t="str">
        <x:v>processNode</x:v>
      </x:c>
      <x:c r="H16" s="174" t="str">
        <x:v>Current State</x:v>
      </x:c>
      <x:c r="I16" s="176" t="n">
        <x:v>600</x:v>
      </x:c>
      <x:c r="J16" s="176" t="n">
        <x:v>1440</x:v>
      </x:c>
      <x:c r="K16" s="176" t="n">
        <x:v>280</x:v>
      </x:c>
      <x:c r="L16" s="176" t="n">
        <x:v>86</x:v>
      </x:c>
      <x:c r="M16" s="174" t="str">
        <x:v>#EDE9FE</x:v>
      </x:c>
      <x:c r="N16" s="174" t="str">
        <x:v>#6D28D9</x:v>
      </x:c>
      <x:c r="O16" s="174" t="str">
        <x:v>Assembly</x:v>
      </x:c>
      <x:c r="P16" s="174" t="str">
        <x:v>Assembly</x:v>
      </x:c>
      <x:c r="Q16" s="174" t="str">
        <x:v>Kitted parts, work instructions, hardware, wiring, tools, drawings, shortages list</x:v>
      </x:c>
      <x:c r="R16" s="174" t="str">
        <x:v>Completed assembly, build records, shortage/rework notes, test-ready unit</x:v>
      </x:c>
      <x:c r="S16" s="24" t="str">
        <x:v>Directly maps to the Mermaid key shown in the flowchart.</x:v>
      </x:c>
    </x:row>
    <x:row r="17">
      <x:c r="A17" s="23" t="str">
        <x:v>P</x:v>
      </x:c>
      <x:c r="B17" s="174" t="str">
        <x:v>testing</x:v>
      </x:c>
      <x:c r="C17" s="174" t="str">
        <x:v>Testing</x:v>
      </x:c>
      <x:c r="D17" s="174" t="str">
        <x:v>Assembly &amp; Test</x:v>
      </x:c>
      <x:c r="E17" s="176" t="n">
        <x:v>13</x:v>
      </x:c>
      <x:c r="F17" s="174" t="str">
        <x:v>Quality Gate</x:v>
      </x:c>
      <x:c r="G17" s="174" t="str">
        <x:v>qualityGateNode</x:v>
      </x:c>
      <x:c r="H17" s="174" t="str">
        <x:v>Current State</x:v>
      </x:c>
      <x:c r="I17" s="176" t="n">
        <x:v>600</x:v>
      </x:c>
      <x:c r="J17" s="176" t="n">
        <x:v>1560</x:v>
      </x:c>
      <x:c r="K17" s="176" t="n">
        <x:v>280</x:v>
      </x:c>
      <x:c r="L17" s="176" t="n">
        <x:v>86</x:v>
      </x:c>
      <x:c r="M17" s="174" t="str">
        <x:v>#EDE9FE</x:v>
      </x:c>
      <x:c r="N17" s="174" t="str">
        <x:v>#6D28D9</x:v>
      </x:c>
      <x:c r="O17" s="174" t="str">
        <x:v>Assembly</x:v>
      </x:c>
      <x:c r="P17" s="174" t="str">
        <x:v>Testing</x:v>
      </x:c>
      <x:c r="Q17" s="174" t="str">
        <x:v>Completed assembly, test procedure, equipment, acceptance criteria, customer requirements</x:v>
      </x:c>
      <x:c r="R17" s="174" t="str">
        <x:v>Test results, accepted/rejected status, rework actions, final inspection package</x:v>
      </x:c>
      <x:c r="S17" s="24" t="str">
        <x:v>Directly maps to the Mermaid key shown in the flowchart.</x:v>
      </x:c>
    </x:row>
    <x:row r="18">
      <x:c r="A18" s="23" t="str">
        <x:v>Q</x:v>
      </x:c>
      <x:c r="B18" s="174" t="str">
        <x:v>final_quality_assurance</x:v>
      </x:c>
      <x:c r="C18" s="174" t="str">
        <x:v>Final Quality Assurance</x:v>
      </x:c>
      <x:c r="D18" s="174" t="str">
        <x:v>Quality Assurance</x:v>
      </x:c>
      <x:c r="E18" s="176" t="n">
        <x:v>14</x:v>
      </x:c>
      <x:c r="F18" s="174" t="str">
        <x:v>Quality Gate</x:v>
      </x:c>
      <x:c r="G18" s="174" t="str">
        <x:v>qualityGateNode</x:v>
      </x:c>
      <x:c r="H18" s="174" t="str">
        <x:v>Current State</x:v>
      </x:c>
      <x:c r="I18" s="176" t="n">
        <x:v>600</x:v>
      </x:c>
      <x:c r="J18" s="176" t="n">
        <x:v>1680</x:v>
      </x:c>
      <x:c r="K18" s="176" t="n">
        <x:v>280</x:v>
      </x:c>
      <x:c r="L18" s="176" t="n">
        <x:v>86</x:v>
      </x:c>
      <x:c r="M18" s="174" t="str">
        <x:v>#FFEDD5</x:v>
      </x:c>
      <x:c r="N18" s="174" t="str">
        <x:v>#EA580C</x:v>
      </x:c>
      <x:c r="O18" s="174" t="str">
        <x:v>Quality</x:v>
      </x:c>
      <x:c r="P18" s="174" t="str">
        <x:v>Final Quality Assurance</x:v>
      </x:c>
      <x:c r="Q18" s="174" t="str">
        <x:v>Completed/tested item, traveler, cert package, inspection plan, customer requirements</x:v>
      </x:c>
      <x:c r="R18" s="174" t="str">
        <x:v>Accepted product, final documentation package, shipping release or rework instruction</x:v>
      </x:c>
      <x:c r="S18" s="24" t="str">
        <x:v>Directly maps to the Mermaid key shown in the flowchart.</x:v>
      </x:c>
    </x:row>
    <x:row r="19">
      <x:c r="A19" s="23" t="str">
        <x:v>R</x:v>
      </x:c>
      <x:c r="B19" s="174" t="str">
        <x:v>shipping_customer_delivery</x:v>
      </x:c>
      <x:c r="C19" s="174" t="str">
        <x:v>Shipping &amp; Customer Delivery</x:v>
      </x:c>
      <x:c r="D19" s="174" t="str">
        <x:v>Shipping</x:v>
      </x:c>
      <x:c r="E19" s="176" t="n">
        <x:v>15</x:v>
      </x:c>
      <x:c r="F19" s="174" t="str">
        <x:v>Output</x:v>
      </x:c>
      <x:c r="G19" s="174" t="str">
        <x:v>outputNode</x:v>
      </x:c>
      <x:c r="H19" s="174" t="str">
        <x:v>Current State</x:v>
      </x:c>
      <x:c r="I19" s="176" t="n">
        <x:v>600</x:v>
      </x:c>
      <x:c r="J19" s="176" t="n">
        <x:v>1800</x:v>
      </x:c>
      <x:c r="K19" s="176" t="n">
        <x:v>280</x:v>
      </x:c>
      <x:c r="L19" s="176" t="n">
        <x:v>86</x:v>
      </x:c>
      <x:c r="M19" s="174" t="str">
        <x:v>#DBEAFE</x:v>
      </x:c>
      <x:c r="N19" s="174" t="str">
        <x:v>#2563EB</x:v>
      </x:c>
      <x:c r="O19" s="174" t="str">
        <x:v>Fulfillment</x:v>
      </x:c>
      <x:c r="P19" s="174" t="str">
        <x:v>Shipping &amp; Customer Delivery</x:v>
      </x:c>
      <x:c r="Q19" s="174" t="str">
        <x:v>Released product, packing requirements, shipment documents, customer delivery requirements</x:v>
      </x:c>
      <x:c r="R19" s="174" t="str">
        <x:v>Customer shipment, tracking information, delivery records, invoice trigger</x:v>
      </x:c>
      <x:c r="S19" s="24" t="str">
        <x:v>Directly maps to the Mermaid key shown in the flowchart.</x:v>
      </x:c>
    </x:row>
  </x:sheetData>
  <x:dataValidations count="4">
    <x:dataValidation type="list" sqref="D2:D19">
      <x:formula1>"Sales &amp; Quoting,Order Processing,Engineering &amp; Planning,Supply Chain,Project Management,Manufacturing,Finishing &amp; Special Processes,Assembly &amp; Test,Quality Assurance,Shipping"</x:formula1>
    </x:dataValidation>
    <x:dataValidation type="list" sqref="F2:F19">
      <x:formula1>"Input,Process,Control,Work Center,Convergence,Quality Gate,Output"</x:formula1>
    </x:dataValidation>
    <x:dataValidation type="list" sqref="G2:G19">
      <x:formula1>"inputNode,processNode,controlNode,manufacturingNode,qualityGateNode,outputNode"</x:formula1>
    </x:dataValidation>
    <x:dataValidation type="list" sqref="H2:H19">
      <x:formula1>"Current State,In Review,Active Project,Future Opportunity,Not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edc314b3a04a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12" hidden="0" customWidth="1"/>
    <x:col min="4" max="4" width="32" hidden="0" customWidth="1"/>
    <x:col min="5" max="5" width="32" hidden="0" customWidth="1"/>
    <x:col min="6" max="6" width="30" hidden="0" customWidth="1"/>
    <x:col min="7" max="7" width="14" hidden="0" customWidth="1"/>
    <x:col min="8" max="8" width="12" hidden="0" customWidth="1"/>
    <x:col min="9" max="9" width="14" hidden="0" customWidth="1"/>
    <x:col min="10" max="10" width="16" hidden="0" customWidth="1"/>
    <x:col min="11" max="11" width="16" hidden="0" customWidth="1"/>
    <x:col min="12" max="12" width="20" hidden="0" customWidth="1"/>
    <x:col min="13" max="13" width="46" hidden="0" customWidth="1"/>
    <x:col min="14" max="14" width="36" hidden="0" customWidth="1"/>
  </x:cols>
  <x:sheetData>
    <x:row r="1">
      <x:c r="A1" s="11" t="str">
        <x:v>edge_id</x:v>
      </x:c>
      <x:c r="B1" s="11" t="str">
        <x:v>source_key</x:v>
      </x:c>
      <x:c r="C1" s="11" t="str">
        <x:v>target_key</x:v>
      </x:c>
      <x:c r="D1" s="11" t="str">
        <x:v>source_node_id</x:v>
      </x:c>
      <x:c r="E1" s="11" t="str">
        <x:v>target_node_id</x:v>
      </x:c>
      <x:c r="F1" s="11" t="str">
        <x:v>label</x:v>
      </x:c>
      <x:c r="G1" s="11" t="str">
        <x:v>edge_type</x:v>
      </x:c>
      <x:c r="H1" s="11" t="str">
        <x:v>animated</x:v>
      </x:c>
      <x:c r="I1" s="11" t="str">
        <x:v>stroke_color</x:v>
      </x:c>
      <x:c r="J1" s="11" t="str">
        <x:v>source_handle</x:v>
      </x:c>
      <x:c r="K1" s="11" t="str">
        <x:v>target_handle</x:v>
      </x:c>
      <x:c r="L1" s="11" t="str">
        <x:v>handoff_type</x:v>
      </x:c>
      <x:c r="M1" s="11" t="str">
        <x:v>data_material_handoff</x:v>
      </x:c>
      <x:c r="N1" s="11" t="str">
        <x:v>notes</x:v>
      </x:c>
    </x:row>
    <x:row r="2">
      <x:c r="A2" s="21" t="str">
        <x:v>e_sales_customer_opportunities_to_estimating_quoting</x:v>
      </x:c>
      <x:c r="B2" s="173" t="str">
        <x:v>A</x:v>
      </x:c>
      <x:c r="C2" s="173" t="str">
        <x:v>B</x:v>
      </x:c>
      <x:c r="D2" s="173" t="str">
        <x:v>sales_customer_opportunities</x:v>
      </x:c>
      <x:c r="E2" s="173" t="str">
        <x:v>estimating_quoting</x:v>
      </x:c>
      <x:c r="F2" s="173" t="str"/>
      <x:c r="G2" s="173" t="str">
        <x:v>smoothstep</x:v>
      </x:c>
      <x:c r="H2" s="183" t="b">
        <x:v>0</x:v>
      </x:c>
      <x:c r="I2" s="173" t="str">
        <x:v>#64748B</x:v>
      </x:c>
      <x:c r="J2" s="173" t="str"/>
      <x:c r="K2" s="173" t="str"/>
      <x:c r="L2" s="173" t="str">
        <x:v>Information + status</x:v>
      </x:c>
      <x:c r="M2" s="173" t="str">
        <x:v>Sales &amp; Customer Opportunities to Estimating &amp; Quoting</x:v>
      </x:c>
      <x:c r="N2" s="22" t="str">
        <x:v>Confirm exact handoff details with process owner.</x:v>
      </x:c>
    </x:row>
    <x:row r="3">
      <x:c r="A3" s="23" t="str">
        <x:v>e_estimating_quoting_to_order_review_processing</x:v>
      </x:c>
      <x:c r="B3" s="174" t="str">
        <x:v>B</x:v>
      </x:c>
      <x:c r="C3" s="174" t="str">
        <x:v>C</x:v>
      </x:c>
      <x:c r="D3" s="174" t="str">
        <x:v>estimating_quoting</x:v>
      </x:c>
      <x:c r="E3" s="174" t="str">
        <x:v>order_review_processing</x:v>
      </x:c>
      <x:c r="F3" s="174" t="str"/>
      <x:c r="G3" s="174" t="str">
        <x:v>smoothstep</x:v>
      </x:c>
      <x:c r="H3" s="184" t="b">
        <x:v>0</x:v>
      </x:c>
      <x:c r="I3" s="174" t="str">
        <x:v>#64748B</x:v>
      </x:c>
      <x:c r="J3" s="174" t="str"/>
      <x:c r="K3" s="174" t="str"/>
      <x:c r="L3" s="174" t="str">
        <x:v>Information + status</x:v>
      </x:c>
      <x:c r="M3" s="174" t="str">
        <x:v>Estimating &amp; Quoting to Order Review &amp; Processing</x:v>
      </x:c>
      <x:c r="N3" s="24" t="str">
        <x:v>Confirm exact handoff details with process owner.</x:v>
      </x:c>
    </x:row>
    <x:row r="4">
      <x:c r="A4" s="23" t="str">
        <x:v>e_order_review_processing_to_engineering_production_planning</x:v>
      </x:c>
      <x:c r="B4" s="174" t="str">
        <x:v>C</x:v>
      </x:c>
      <x:c r="C4" s="174" t="str">
        <x:v>D</x:v>
      </x:c>
      <x:c r="D4" s="174" t="str">
        <x:v>order_review_processing</x:v>
      </x:c>
      <x:c r="E4" s="174" t="str">
        <x:v>engineering_production_planning</x:v>
      </x:c>
      <x:c r="F4" s="174" t="str"/>
      <x:c r="G4" s="174" t="str">
        <x:v>smoothstep</x:v>
      </x:c>
      <x:c r="H4" s="184" t="b">
        <x:v>0</x:v>
      </x:c>
      <x:c r="I4" s="174" t="str">
        <x:v>#64748B</x:v>
      </x:c>
      <x:c r="J4" s="174" t="str"/>
      <x:c r="K4" s="174" t="str"/>
      <x:c r="L4" s="174" t="str">
        <x:v>Information + status</x:v>
      </x:c>
      <x:c r="M4" s="174" t="str">
        <x:v>Order Review &amp; Processing to Engineering &amp; Production Planning</x:v>
      </x:c>
      <x:c r="N4" s="24" t="str">
        <x:v>Confirm exact handoff details with process owner.</x:v>
      </x:c>
    </x:row>
    <x:row r="5">
      <x:c r="A5" s="23" t="str">
        <x:v>e_engineering_production_planning_to_purchasing_supplier_management</x:v>
      </x:c>
      <x:c r="B5" s="174" t="str">
        <x:v>D</x:v>
      </x:c>
      <x:c r="C5" s="174" t="str">
        <x:v>E</x:v>
      </x:c>
      <x:c r="D5" s="174" t="str">
        <x:v>engineering_production_planning</x:v>
      </x:c>
      <x:c r="E5" s="174" t="str">
        <x:v>purchasing_supplier_management</x:v>
      </x:c>
      <x:c r="F5" s="174" t="str"/>
      <x:c r="G5" s="174" t="str">
        <x:v>smoothstep</x:v>
      </x:c>
      <x:c r="H5" s="184" t="b">
        <x:v>0</x:v>
      </x:c>
      <x:c r="I5" s="174" t="str">
        <x:v>#64748B</x:v>
      </x:c>
      <x:c r="J5" s="174" t="str"/>
      <x:c r="K5" s="174" t="str"/>
      <x:c r="L5" s="174" t="str">
        <x:v>Information + status</x:v>
      </x:c>
      <x:c r="M5" s="174" t="str">
        <x:v>Engineering &amp; Production Planning to Purchasing &amp; Supplier Management</x:v>
      </x:c>
      <x:c r="N5" s="24" t="str">
        <x:v>Confirm exact handoff details with process owner.</x:v>
      </x:c>
    </x:row>
    <x:row r="6">
      <x:c r="A6" s="23" t="str">
        <x:v>e_purchasing_supplier_management_to_receiving_material_control</x:v>
      </x:c>
      <x:c r="B6" s="174" t="str">
        <x:v>E</x:v>
      </x:c>
      <x:c r="C6" s="174" t="str">
        <x:v>F</x:v>
      </x:c>
      <x:c r="D6" s="174" t="str">
        <x:v>purchasing_supplier_management</x:v>
      </x:c>
      <x:c r="E6" s="174" t="str">
        <x:v>receiving_material_control</x:v>
      </x:c>
      <x:c r="F6" s="174" t="str"/>
      <x:c r="G6" s="174" t="str">
        <x:v>smoothstep</x:v>
      </x:c>
      <x:c r="H6" s="184" t="b">
        <x:v>0</x:v>
      </x:c>
      <x:c r="I6" s="174" t="str">
        <x:v>#64748B</x:v>
      </x:c>
      <x:c r="J6" s="174" t="str"/>
      <x:c r="K6" s="174" t="str"/>
      <x:c r="L6" s="174" t="str">
        <x:v>Information + status</x:v>
      </x:c>
      <x:c r="M6" s="174" t="str">
        <x:v>Purchasing &amp; Supplier Management to Receiving &amp; Material Control</x:v>
      </x:c>
      <x:c r="N6" s="24" t="str">
        <x:v>Confirm exact handoff details with process owner.</x:v>
      </x:c>
    </x:row>
    <x:row r="7">
      <x:c r="A7" s="23" t="str">
        <x:v>e_receiving_material_control_to_project_management</x:v>
      </x:c>
      <x:c r="B7" s="174" t="str">
        <x:v>F</x:v>
      </x:c>
      <x:c r="C7" s="174" t="str">
        <x:v>G</x:v>
      </x:c>
      <x:c r="D7" s="174" t="str">
        <x:v>receiving_material_control</x:v>
      </x:c>
      <x:c r="E7" s="174" t="str">
        <x:v>project_management</x:v>
      </x:c>
      <x:c r="F7" s="174" t="str"/>
      <x:c r="G7" s="174" t="str">
        <x:v>smoothstep</x:v>
      </x:c>
      <x:c r="H7" s="184" t="b">
        <x:v>0</x:v>
      </x:c>
      <x:c r="I7" s="174" t="str">
        <x:v>#64748B</x:v>
      </x:c>
      <x:c r="J7" s="174" t="str"/>
      <x:c r="K7" s="174" t="str"/>
      <x:c r="L7" s="174" t="str">
        <x:v>Information + status</x:v>
      </x:c>
      <x:c r="M7" s="174" t="str">
        <x:v>Receiving &amp; Material Control to Project Management</x:v>
      </x:c>
      <x:c r="N7" s="24" t="str">
        <x:v>Confirm exact handoff details with process owner.</x:v>
      </x:c>
    </x:row>
    <x:row r="8">
      <x:c r="A8" s="23" t="str">
        <x:v>e_project_management_to_laser_waterjet</x:v>
      </x:c>
      <x:c r="B8" s="174" t="str">
        <x:v>G</x:v>
      </x:c>
      <x:c r="C8" s="174" t="str">
        <x:v>H</x:v>
      </x:c>
      <x:c r="D8" s="174" t="str">
        <x:v>project_management</x:v>
      </x:c>
      <x:c r="E8" s="174" t="str">
        <x:v>laser_waterjet</x:v>
      </x:c>
      <x:c r="F8" s="174" t="str">
        <x:v>Release to laser/waterjet</x:v>
      </x:c>
      <x:c r="G8" s="174" t="str">
        <x:v>smoothstep</x:v>
      </x:c>
      <x:c r="H8" s="184" t="b">
        <x:v>0</x:v>
      </x:c>
      <x:c r="I8" s="174" t="str">
        <x:v>#64748B</x:v>
      </x:c>
      <x:c r="J8" s="174" t="str"/>
      <x:c r="K8" s="174" t="str"/>
      <x:c r="L8" s="174" t="str">
        <x:v>Material + status</x:v>
      </x:c>
      <x:c r="M8" s="174" t="str">
        <x:v>Project Management to Laser &amp; Waterjet</x:v>
      </x:c>
      <x:c r="N8" s="24" t="str">
        <x:v>Confirm exact handoff details with process owner.</x:v>
      </x:c>
    </x:row>
    <x:row r="9">
      <x:c r="A9" s="23" t="str">
        <x:v>e_project_management_to_bending</x:v>
      </x:c>
      <x:c r="B9" s="174" t="str">
        <x:v>G</x:v>
      </x:c>
      <x:c r="C9" s="174" t="str">
        <x:v>I</x:v>
      </x:c>
      <x:c r="D9" s="174" t="str">
        <x:v>project_management</x:v>
      </x:c>
      <x:c r="E9" s="174" t="str">
        <x:v>bending</x:v>
      </x:c>
      <x:c r="F9" s="174" t="str">
        <x:v>Release to bending</x:v>
      </x:c>
      <x:c r="G9" s="174" t="str">
        <x:v>smoothstep</x:v>
      </x:c>
      <x:c r="H9" s="184" t="b">
        <x:v>0</x:v>
      </x:c>
      <x:c r="I9" s="174" t="str">
        <x:v>#64748B</x:v>
      </x:c>
      <x:c r="J9" s="174" t="str"/>
      <x:c r="K9" s="174" t="str"/>
      <x:c r="L9" s="174" t="str">
        <x:v>Material + status</x:v>
      </x:c>
      <x:c r="M9" s="174" t="str">
        <x:v>Project Management to Bending</x:v>
      </x:c>
      <x:c r="N9" s="24" t="str">
        <x:v>Confirm exact handoff details with process owner.</x:v>
      </x:c>
    </x:row>
    <x:row r="10">
      <x:c r="A10" s="23" t="str">
        <x:v>e_project_management_to_machining</x:v>
      </x:c>
      <x:c r="B10" s="174" t="str">
        <x:v>G</x:v>
      </x:c>
      <x:c r="C10" s="174" t="str">
        <x:v>J</x:v>
      </x:c>
      <x:c r="D10" s="174" t="str">
        <x:v>project_management</x:v>
      </x:c>
      <x:c r="E10" s="174" t="str">
        <x:v>machining</x:v>
      </x:c>
      <x:c r="F10" s="174" t="str">
        <x:v>Release to machining</x:v>
      </x:c>
      <x:c r="G10" s="174" t="str">
        <x:v>smoothstep</x:v>
      </x:c>
      <x:c r="H10" s="184" t="b">
        <x:v>0</x:v>
      </x:c>
      <x:c r="I10" s="174" t="str">
        <x:v>#64748B</x:v>
      </x:c>
      <x:c r="J10" s="174" t="str"/>
      <x:c r="K10" s="174" t="str"/>
      <x:c r="L10" s="174" t="str">
        <x:v>Material + status</x:v>
      </x:c>
      <x:c r="M10" s="174" t="str">
        <x:v>Project Management to Machining</x:v>
      </x:c>
      <x:c r="N10" s="24" t="str">
        <x:v>Confirm exact handoff details with process owner.</x:v>
      </x:c>
    </x:row>
    <x:row r="11">
      <x:c r="A11" s="23" t="str">
        <x:v>e_project_management_to_welding</x:v>
      </x:c>
      <x:c r="B11" s="174" t="str">
        <x:v>G</x:v>
      </x:c>
      <x:c r="C11" s="174" t="str">
        <x:v>K</x:v>
      </x:c>
      <x:c r="D11" s="174" t="str">
        <x:v>project_management</x:v>
      </x:c>
      <x:c r="E11" s="174" t="str">
        <x:v>welding</x:v>
      </x:c>
      <x:c r="F11" s="174" t="str">
        <x:v>Release to welding</x:v>
      </x:c>
      <x:c r="G11" s="174" t="str">
        <x:v>smoothstep</x:v>
      </x:c>
      <x:c r="H11" s="184" t="b">
        <x:v>0</x:v>
      </x:c>
      <x:c r="I11" s="174" t="str">
        <x:v>#64748B</x:v>
      </x:c>
      <x:c r="J11" s="174" t="str"/>
      <x:c r="K11" s="174" t="str"/>
      <x:c r="L11" s="174" t="str">
        <x:v>Material + status</x:v>
      </x:c>
      <x:c r="M11" s="174" t="str">
        <x:v>Project Management to Welding</x:v>
      </x:c>
      <x:c r="N11" s="24" t="str">
        <x:v>Confirm exact handoff details with process owner.</x:v>
      </x:c>
    </x:row>
    <x:row r="12">
      <x:c r="A12" s="23" t="str">
        <x:v>e_laser_waterjet_to_grinding_finishing</x:v>
      </x:c>
      <x:c r="B12" s="174" t="str">
        <x:v>H</x:v>
      </x:c>
      <x:c r="C12" s="174" t="str">
        <x:v>L</x:v>
      </x:c>
      <x:c r="D12" s="174" t="str">
        <x:v>laser_waterjet</x:v>
      </x:c>
      <x:c r="E12" s="174" t="str">
        <x:v>grinding_finishing</x:v>
      </x:c>
      <x:c r="F12" s="174" t="str"/>
      <x:c r="G12" s="174" t="str">
        <x:v>smoothstep</x:v>
      </x:c>
      <x:c r="H12" s="184" t="b">
        <x:v>0</x:v>
      </x:c>
      <x:c r="I12" s="174" t="str">
        <x:v>#64748B</x:v>
      </x:c>
      <x:c r="J12" s="174" t="str"/>
      <x:c r="K12" s="174" t="str"/>
      <x:c r="L12" s="174" t="str">
        <x:v>Material + status</x:v>
      </x:c>
      <x:c r="M12" s="174" t="str">
        <x:v>Laser &amp; Waterjet to Grinding &amp; Finishing</x:v>
      </x:c>
      <x:c r="N12" s="24" t="str">
        <x:v>Confirm exact handoff details with process owner.</x:v>
      </x:c>
    </x:row>
    <x:row r="13">
      <x:c r="A13" s="23" t="str">
        <x:v>e_bending_to_grinding_finishing</x:v>
      </x:c>
      <x:c r="B13" s="174" t="str">
        <x:v>I</x:v>
      </x:c>
      <x:c r="C13" s="174" t="str">
        <x:v>L</x:v>
      </x:c>
      <x:c r="D13" s="174" t="str">
        <x:v>bending</x:v>
      </x:c>
      <x:c r="E13" s="174" t="str">
        <x:v>grinding_finishing</x:v>
      </x:c>
      <x:c r="F13" s="174" t="str"/>
      <x:c r="G13" s="174" t="str">
        <x:v>smoothstep</x:v>
      </x:c>
      <x:c r="H13" s="184" t="b">
        <x:v>0</x:v>
      </x:c>
      <x:c r="I13" s="174" t="str">
        <x:v>#64748B</x:v>
      </x:c>
      <x:c r="J13" s="174" t="str"/>
      <x:c r="K13" s="174" t="str"/>
      <x:c r="L13" s="174" t="str">
        <x:v>Material + status</x:v>
      </x:c>
      <x:c r="M13" s="174" t="str">
        <x:v>Bending to Grinding &amp; Finishing</x:v>
      </x:c>
      <x:c r="N13" s="24" t="str">
        <x:v>Confirm exact handoff details with process owner.</x:v>
      </x:c>
    </x:row>
    <x:row r="14">
      <x:c r="A14" s="23" t="str">
        <x:v>e_machining_to_grinding_finishing</x:v>
      </x:c>
      <x:c r="B14" s="174" t="str">
        <x:v>J</x:v>
      </x:c>
      <x:c r="C14" s="174" t="str">
        <x:v>L</x:v>
      </x:c>
      <x:c r="D14" s="174" t="str">
        <x:v>machining</x:v>
      </x:c>
      <x:c r="E14" s="174" t="str">
        <x:v>grinding_finishing</x:v>
      </x:c>
      <x:c r="F14" s="174" t="str"/>
      <x:c r="G14" s="174" t="str">
        <x:v>smoothstep</x:v>
      </x:c>
      <x:c r="H14" s="184" t="b">
        <x:v>0</x:v>
      </x:c>
      <x:c r="I14" s="174" t="str">
        <x:v>#64748B</x:v>
      </x:c>
      <x:c r="J14" s="174" t="str"/>
      <x:c r="K14" s="174" t="str"/>
      <x:c r="L14" s="174" t="str">
        <x:v>Material + status</x:v>
      </x:c>
      <x:c r="M14" s="174" t="str">
        <x:v>Machining to Grinding &amp; Finishing</x:v>
      </x:c>
      <x:c r="N14" s="24" t="str">
        <x:v>Confirm exact handoff details with process owner.</x:v>
      </x:c>
    </x:row>
    <x:row r="15">
      <x:c r="A15" s="23" t="str">
        <x:v>e_welding_to_grinding_finishing</x:v>
      </x:c>
      <x:c r="B15" s="174" t="str">
        <x:v>K</x:v>
      </x:c>
      <x:c r="C15" s="174" t="str">
        <x:v>L</x:v>
      </x:c>
      <x:c r="D15" s="174" t="str">
        <x:v>welding</x:v>
      </x:c>
      <x:c r="E15" s="174" t="str">
        <x:v>grinding_finishing</x:v>
      </x:c>
      <x:c r="F15" s="174" t="str"/>
      <x:c r="G15" s="174" t="str">
        <x:v>smoothstep</x:v>
      </x:c>
      <x:c r="H15" s="184" t="b">
        <x:v>0</x:v>
      </x:c>
      <x:c r="I15" s="174" t="str">
        <x:v>#64748B</x:v>
      </x:c>
      <x:c r="J15" s="174" t="str"/>
      <x:c r="K15" s="174" t="str"/>
      <x:c r="L15" s="174" t="str">
        <x:v>Material + status</x:v>
      </x:c>
      <x:c r="M15" s="174" t="str">
        <x:v>Welding to Grinding &amp; Finishing</x:v>
      </x:c>
      <x:c r="N15" s="24" t="str">
        <x:v>Confirm exact handoff details with process owner.</x:v>
      </x:c>
    </x:row>
    <x:row r="16">
      <x:c r="A16" s="23" t="str">
        <x:v>e_grinding_finishing_to_coatings</x:v>
      </x:c>
      <x:c r="B16" s="174" t="str">
        <x:v>L</x:v>
      </x:c>
      <x:c r="C16" s="174" t="str">
        <x:v>M</x:v>
      </x:c>
      <x:c r="D16" s="174" t="str">
        <x:v>grinding_finishing</x:v>
      </x:c>
      <x:c r="E16" s="174" t="str">
        <x:v>coatings</x:v>
      </x:c>
      <x:c r="F16" s="174" t="str"/>
      <x:c r="G16" s="174" t="str">
        <x:v>smoothstep</x:v>
      </x:c>
      <x:c r="H16" s="184" t="b">
        <x:v>0</x:v>
      </x:c>
      <x:c r="I16" s="174" t="str">
        <x:v>#64748B</x:v>
      </x:c>
      <x:c r="J16" s="174" t="str"/>
      <x:c r="K16" s="174" t="str"/>
      <x:c r="L16" s="174" t="str">
        <x:v>Information + status</x:v>
      </x:c>
      <x:c r="M16" s="174" t="str">
        <x:v>Grinding &amp; Finishing to Coatings</x:v>
      </x:c>
      <x:c r="N16" s="24" t="str">
        <x:v>Confirm exact handoff details with process owner.</x:v>
      </x:c>
    </x:row>
    <x:row r="17">
      <x:c r="A17" s="23" t="str">
        <x:v>e_coatings_to_marking</x:v>
      </x:c>
      <x:c r="B17" s="174" t="str">
        <x:v>M</x:v>
      </x:c>
      <x:c r="C17" s="174" t="str">
        <x:v>N</x:v>
      </x:c>
      <x:c r="D17" s="174" t="str">
        <x:v>coatings</x:v>
      </x:c>
      <x:c r="E17" s="174" t="str">
        <x:v>marking</x:v>
      </x:c>
      <x:c r="F17" s="174" t="str"/>
      <x:c r="G17" s="174" t="str">
        <x:v>smoothstep</x:v>
      </x:c>
      <x:c r="H17" s="184" t="b">
        <x:v>0</x:v>
      </x:c>
      <x:c r="I17" s="174" t="str">
        <x:v>#64748B</x:v>
      </x:c>
      <x:c r="J17" s="174" t="str"/>
      <x:c r="K17" s="174" t="str"/>
      <x:c r="L17" s="174" t="str">
        <x:v>Information + status</x:v>
      </x:c>
      <x:c r="M17" s="174" t="str">
        <x:v>Coatings to Marking</x:v>
      </x:c>
      <x:c r="N17" s="24" t="str">
        <x:v>Confirm exact handoff details with process owner.</x:v>
      </x:c>
    </x:row>
    <x:row r="18">
      <x:c r="A18" s="23" t="str">
        <x:v>e_marking_to_assembly</x:v>
      </x:c>
      <x:c r="B18" s="174" t="str">
        <x:v>N</x:v>
      </x:c>
      <x:c r="C18" s="174" t="str">
        <x:v>O</x:v>
      </x:c>
      <x:c r="D18" s="174" t="str">
        <x:v>marking</x:v>
      </x:c>
      <x:c r="E18" s="174" t="str">
        <x:v>assembly</x:v>
      </x:c>
      <x:c r="F18" s="174" t="str"/>
      <x:c r="G18" s="174" t="str">
        <x:v>smoothstep</x:v>
      </x:c>
      <x:c r="H18" s="184" t="b">
        <x:v>0</x:v>
      </x:c>
      <x:c r="I18" s="174" t="str">
        <x:v>#64748B</x:v>
      </x:c>
      <x:c r="J18" s="174" t="str"/>
      <x:c r="K18" s="174" t="str"/>
      <x:c r="L18" s="174" t="str">
        <x:v>Information + status</x:v>
      </x:c>
      <x:c r="M18" s="174" t="str">
        <x:v>Marking to Assembly</x:v>
      </x:c>
      <x:c r="N18" s="24" t="str">
        <x:v>Confirm exact handoff details with process owner.</x:v>
      </x:c>
    </x:row>
    <x:row r="19">
      <x:c r="A19" s="23" t="str">
        <x:v>e_assembly_to_testing</x:v>
      </x:c>
      <x:c r="B19" s="174" t="str">
        <x:v>O</x:v>
      </x:c>
      <x:c r="C19" s="174" t="str">
        <x:v>P</x:v>
      </x:c>
      <x:c r="D19" s="174" t="str">
        <x:v>assembly</x:v>
      </x:c>
      <x:c r="E19" s="174" t="str">
        <x:v>testing</x:v>
      </x:c>
      <x:c r="F19" s="174" t="str"/>
      <x:c r="G19" s="174" t="str">
        <x:v>smoothstep</x:v>
      </x:c>
      <x:c r="H19" s="184" t="b">
        <x:v>0</x:v>
      </x:c>
      <x:c r="I19" s="174" t="str">
        <x:v>#64748B</x:v>
      </x:c>
      <x:c r="J19" s="174" t="str"/>
      <x:c r="K19" s="174" t="str"/>
      <x:c r="L19" s="174" t="str">
        <x:v>Information + status</x:v>
      </x:c>
      <x:c r="M19" s="174" t="str">
        <x:v>Assembly to Testing</x:v>
      </x:c>
      <x:c r="N19" s="24" t="str">
        <x:v>Confirm exact handoff details with process owner.</x:v>
      </x:c>
    </x:row>
    <x:row r="20">
      <x:c r="A20" s="23" t="str">
        <x:v>e_testing_to_final_quality_assurance</x:v>
      </x:c>
      <x:c r="B20" s="174" t="str">
        <x:v>P</x:v>
      </x:c>
      <x:c r="C20" s="174" t="str">
        <x:v>Q</x:v>
      </x:c>
      <x:c r="D20" s="174" t="str">
        <x:v>testing</x:v>
      </x:c>
      <x:c r="E20" s="174" t="str">
        <x:v>final_quality_assurance</x:v>
      </x:c>
      <x:c r="F20" s="174" t="str"/>
      <x:c r="G20" s="174" t="str">
        <x:v>smoothstep</x:v>
      </x:c>
      <x:c r="H20" s="184" t="b">
        <x:v>0</x:v>
      </x:c>
      <x:c r="I20" s="174" t="str">
        <x:v>#64748B</x:v>
      </x:c>
      <x:c r="J20" s="174" t="str"/>
      <x:c r="K20" s="174" t="str"/>
      <x:c r="L20" s="174" t="str">
        <x:v>Information + status</x:v>
      </x:c>
      <x:c r="M20" s="174" t="str">
        <x:v>Testing to Final Quality Assurance</x:v>
      </x:c>
      <x:c r="N20" s="24" t="str">
        <x:v>Confirm exact handoff details with process owner.</x:v>
      </x:c>
    </x:row>
    <x:row r="21">
      <x:c r="A21" s="23" t="str">
        <x:v>e_final_quality_assurance_to_shipping_customer_delivery</x:v>
      </x:c>
      <x:c r="B21" s="174" t="str">
        <x:v>Q</x:v>
      </x:c>
      <x:c r="C21" s="174" t="str">
        <x:v>R</x:v>
      </x:c>
      <x:c r="D21" s="174" t="str">
        <x:v>final_quality_assurance</x:v>
      </x:c>
      <x:c r="E21" s="174" t="str">
        <x:v>shipping_customer_delivery</x:v>
      </x:c>
      <x:c r="F21" s="174" t="str"/>
      <x:c r="G21" s="174" t="str">
        <x:v>smoothstep</x:v>
      </x:c>
      <x:c r="H21" s="184" t="b">
        <x:v>0</x:v>
      </x:c>
      <x:c r="I21" s="174" t="str">
        <x:v>#64748B</x:v>
      </x:c>
      <x:c r="J21" s="174" t="str"/>
      <x:c r="K21" s="174" t="str"/>
      <x:c r="L21" s="174" t="str">
        <x:v>Information + status</x:v>
      </x:c>
      <x:c r="M21" s="174" t="str">
        <x:v>Final Quality Assurance to Shipping &amp; Customer Delivery</x:v>
      </x:c>
      <x:c r="N21" s="24" t="str">
        <x:v>Confirm exact handoff details with process owner.</x:v>
      </x:c>
    </x:row>
  </x:sheetData>
  <x:dataValidations count="1">
    <x:dataValidation type="list" sqref="G2:G21">
      <x:formula1>"smoothstep,step,default"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08e2736f5140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4" hidden="0" customWidth="1"/>
    <x:col min="4" max="4" width="24" hidden="0" customWidth="1"/>
    <x:col min="5" max="5" width="26" hidden="0" customWidth="1"/>
    <x:col min="6" max="6" width="46" hidden="0" customWidth="1"/>
    <x:col min="7" max="7" width="48" hidden="0" customWidth="1"/>
    <x:col min="8" max="8" width="46" hidden="0" customWidth="1"/>
    <x:col min="9" max="9" width="42" hidden="0" customWidth="1"/>
    <x:col min="10" max="10" width="34" hidden="0" customWidth="1"/>
    <x:col min="11" max="11" width="34" hidden="0" customWidth="1"/>
    <x:col min="12" max="12" width="34" hidden="0" customWidth="1"/>
    <x:col min="13" max="13" width="38" hidden="0" customWidth="1"/>
    <x:col min="14" max="14" width="38" hidden="0" customWidth="1"/>
    <x:col min="15" max="15" width="34" hidden="0" customWidth="1"/>
    <x:col min="16" max="16" width="18" hidden="0" customWidth="1"/>
    <x:col min="17" max="17" width="18" hidden="0" customWidth="1"/>
    <x:col min="18" max="18" width="18" hidden="0" customWidth="1"/>
    <x:col min="19" max="19" width="22" hidden="0" customWidth="1"/>
    <x:col min="20" max="20" width="36" hidden="0" customWidth="1"/>
  </x:cols>
  <x:sheetData>
    <x:row r="1">
      <x:c r="A1" s="11" t="str">
        <x:v>flowchart_key</x:v>
      </x:c>
      <x:c r="B1" s="11" t="str">
        <x:v>node_id</x:v>
      </x:c>
      <x:c r="C1" s="11" t="str">
        <x:v>process_area</x:v>
      </x:c>
      <x:c r="D1" s="11" t="str">
        <x:v>lane</x:v>
      </x:c>
      <x:c r="E1" s="11" t="str">
        <x:v>owner_placeholder</x:v>
      </x:c>
      <x:c r="F1" s="11" t="str">
        <x:v>inputs</x:v>
      </x:c>
      <x:c r="G1" s="11" t="str">
        <x:v>major_activities</x:v>
      </x:c>
      <x:c r="H1" s="11" t="str">
        <x:v>outputs</x:v>
      </x:c>
      <x:c r="I1" s="11" t="str">
        <x:v>quality_checkpoints</x:v>
      </x:c>
      <x:c r="J1" s="11" t="str">
        <x:v>current_software_placeholder</x:v>
      </x:c>
      <x:c r="K1" s="11" t="str">
        <x:v>ai_automation_placeholder</x:v>
      </x:c>
      <x:c r="L1" s="11" t="str">
        <x:v>future_pps_placeholder</x:v>
      </x:c>
      <x:c r="M1" s="11" t="str">
        <x:v>pain_points_placeholder</x:v>
      </x:c>
      <x:c r="N1" s="11" t="str">
        <x:v>opportunity_placeholder</x:v>
      </x:c>
      <x:c r="O1" s="11" t="str">
        <x:v>time_savings_placeholder</x:v>
      </x:c>
      <x:c r="P1" s="11" t="str">
        <x:v>process_status</x:v>
      </x:c>
      <x:c r="Q1" s="11" t="str">
        <x:v>outgoing_edge_count</x:v>
      </x:c>
      <x:c r="R1" s="11" t="str">
        <x:v>incoming_edge_count</x:v>
      </x:c>
      <x:c r="S1" s="11" t="str">
        <x:v>software_placeholder_count</x:v>
      </x:c>
      <x:c r="T1" s="11" t="str">
        <x:v>notes</x:v>
      </x:c>
    </x:row>
    <x:row r="2">
      <x:c r="A2" s="21" t="str">
        <x:v>A</x:v>
      </x:c>
      <x:c r="B2" s="173" t="str">
        <x:v>sales_customer_opportunities</x:v>
      </x:c>
      <x:c r="C2" s="173" t="str">
        <x:v>Sales &amp; Customer Opportunities</x:v>
      </x:c>
      <x:c r="D2" s="173" t="str">
        <x:v>Sales &amp; Quoting</x:v>
      </x:c>
      <x:c r="E2" s="173" t="str">
        <x:v>PLACEHOLDER - process owner</x:v>
      </x:c>
      <x:c r="F2" s="173" t="str">
        <x:v>Customer demand, RFQs, forecasts, repeat orders, market opportunities</x:v>
      </x:c>
      <x:c r="G2" s="173" t="str">
        <x:v>Capture opportunity, qualify fit, identify customer requirements, assign follow-up</x:v>
      </x:c>
      <x:c r="H2" s="173" t="str">
        <x:v>Qualified opportunity or RFQ package ready for estimating</x:v>
      </x:c>
      <x:c r="I2" s="173" t="str">
        <x:v>Customer requirement clarity; due-date and drawing/package completeness</x:v>
      </x:c>
      <x:c r="J2" s="173" t="str">
        <x:v>PLACEHOLDER - current software package(s)</x:v>
      </x:c>
      <x:c r="K2" s="173" t="str">
        <x:v>PLACEHOLDER - current AI / automation</x:v>
      </x:c>
      <x:c r="L2" s="173" t="str">
        <x:v>PLACEHOLDER - future PPS / integration opportunity</x:v>
      </x:c>
      <x:c r="M2" s="173" t="str">
        <x:v>PLACEHOLDER - manual work, delays, duplicate entry, quality risk</x:v>
      </x:c>
      <x:c r="N2" s="173" t="str">
        <x:v>PLACEHOLDER - improvement idea</x:v>
      </x:c>
      <x:c r="O2" s="173" t="str">
        <x:v>PLACEHOLDER - annual hours or time-savings estimate</x:v>
      </x:c>
      <x:c r="P2" s="173" t="str">
        <x:v>Current State</x:v>
      </x:c>
      <x:c r="Q2" s="175" t="n">
        <x:f>COUNTIF('Flowchart Edges'!$D$2:$D$21,B2)</x:f>
        <x:v>1</x:v>
      </x:c>
      <x:c r="R2" s="175" t="n">
        <x:f>COUNTIF('Flowchart Edges'!$E$2:$E$21,B2)</x:f>
        <x:v>0</x:v>
      </x:c>
      <x:c r="S2" s="175" t="n">
        <x:f>COUNTIF('Process Software'!$A$2:$A$91,B2)</x:f>
        <x:v>5</x:v>
      </x:c>
      <x:c r="T2" s="22" t="str">
        <x:v>Validate with the process owner before using in production.</x:v>
      </x:c>
    </x:row>
    <x:row r="3">
      <x:c r="A3" s="23" t="str">
        <x:v>B</x:v>
      </x:c>
      <x:c r="B3" s="174" t="str">
        <x:v>estimating_quoting</x:v>
      </x:c>
      <x:c r="C3" s="174" t="str">
        <x:v>Estimating &amp; Quoting</x:v>
      </x:c>
      <x:c r="D3" s="174" t="str">
        <x:v>Sales &amp; Quoting</x:v>
      </x:c>
      <x:c r="E3" s="174" t="str">
        <x:v>PLACEHOLDER - process owner</x:v>
      </x:c>
      <x:c r="F3" s="174" t="str">
        <x:v>RFQ package, drawings, specifications, historical pricing, material assumptions</x:v>
      </x:c>
      <x:c r="G3" s="174" t="str">
        <x:v>Estimate labor/material, assess manufacturability, price work, review quote approval needs</x:v>
      </x:c>
      <x:c r="H3" s="174" t="str">
        <x:v>Customer quote, assumptions, lead time, exclusions, follow-up tasks</x:v>
      </x:c>
      <x:c r="I3" s="174" t="str">
        <x:v>Quote review, risk review, pricing approval, manufacturability concerns logged</x:v>
      </x:c>
      <x:c r="J3" s="174" t="str">
        <x:v>PLACEHOLDER - current software package(s)</x:v>
      </x:c>
      <x:c r="K3" s="174" t="str">
        <x:v>PLACEHOLDER - current AI / automation</x:v>
      </x:c>
      <x:c r="L3" s="174" t="str">
        <x:v>PLACEHOLDER - future PPS / integration opportunity</x:v>
      </x:c>
      <x:c r="M3" s="174" t="str">
        <x:v>PLACEHOLDER - manual work, delays, duplicate entry, quality risk</x:v>
      </x:c>
      <x:c r="N3" s="174" t="str">
        <x:v>PLACEHOLDER - improvement idea</x:v>
      </x:c>
      <x:c r="O3" s="174" t="str">
        <x:v>PLACEHOLDER - annual hours or time-savings estimate</x:v>
      </x:c>
      <x:c r="P3" s="174" t="str">
        <x:v>Current State</x:v>
      </x:c>
      <x:c r="Q3" s="176" t="n">
        <x:f>COUNTIF('Flowchart Edges'!$D$2:$D$21,B3)</x:f>
        <x:v>1</x:v>
      </x:c>
      <x:c r="R3" s="176" t="n">
        <x:f>COUNTIF('Flowchart Edges'!$E$2:$E$21,B3)</x:f>
        <x:v>1</x:v>
      </x:c>
      <x:c r="S3" s="176" t="n">
        <x:f>COUNTIF('Process Software'!$A$2:$A$91,B3)</x:f>
        <x:v>5</x:v>
      </x:c>
      <x:c r="T3" s="24" t="str">
        <x:v>Validate with the process owner before using in production.</x:v>
      </x:c>
    </x:row>
    <x:row r="4">
      <x:c r="A4" s="23" t="str">
        <x:v>C</x:v>
      </x:c>
      <x:c r="B4" s="174" t="str">
        <x:v>order_review_processing</x:v>
      </x:c>
      <x:c r="C4" s="174" t="str">
        <x:v>Order Review &amp; Processing</x:v>
      </x:c>
      <x:c r="D4" s="174" t="str">
        <x:v>Order Processing</x:v>
      </x:c>
      <x:c r="E4" s="174" t="str">
        <x:v>PLACEHOLDER - process owner</x:v>
      </x:c>
      <x:c r="F4" s="174" t="str">
        <x:v>Customer purchase order, accepted quote, drawings, specifications, delivery requirements</x:v>
      </x:c>
      <x:c r="G4" s="174" t="str">
        <x:v>Review PO, confirm scope, enter order, acknowledge terms, start change-control record</x:v>
      </x:c>
      <x:c r="H4" s="174" t="str">
        <x:v>Accepted order, order record, due dates, contract requirements, kickoff package</x:v>
      </x:c>
      <x:c r="I4" s="174" t="str">
        <x:v>Contract review, PO-to-quote match, flow-down requirements, due-date feasibility</x:v>
      </x:c>
      <x:c r="J4" s="174" t="str">
        <x:v>PLACEHOLDER - current software package(s)</x:v>
      </x:c>
      <x:c r="K4" s="174" t="str">
        <x:v>PLACEHOLDER - current AI / automation</x:v>
      </x:c>
      <x:c r="L4" s="174" t="str">
        <x:v>PLACEHOLDER - future PPS / integration opportunity</x:v>
      </x:c>
      <x:c r="M4" s="174" t="str">
        <x:v>PLACEHOLDER - manual work, delays, duplicate entry, quality risk</x:v>
      </x:c>
      <x:c r="N4" s="174" t="str">
        <x:v>PLACEHOLDER - improvement idea</x:v>
      </x:c>
      <x:c r="O4" s="174" t="str">
        <x:v>PLACEHOLDER - annual hours or time-savings estimate</x:v>
      </x:c>
      <x:c r="P4" s="174" t="str">
        <x:v>Current State</x:v>
      </x:c>
      <x:c r="Q4" s="176" t="n">
        <x:f>COUNTIF('Flowchart Edges'!$D$2:$D$21,B4)</x:f>
        <x:v>1</x:v>
      </x:c>
      <x:c r="R4" s="176" t="n">
        <x:f>COUNTIF('Flowchart Edges'!$E$2:$E$21,B4)</x:f>
        <x:v>1</x:v>
      </x:c>
      <x:c r="S4" s="176" t="n">
        <x:f>COUNTIF('Process Software'!$A$2:$A$91,B4)</x:f>
        <x:v>5</x:v>
      </x:c>
      <x:c r="T4" s="24" t="str">
        <x:v>Validate with the process owner before using in production.</x:v>
      </x:c>
    </x:row>
    <x:row r="5">
      <x:c r="A5" s="23" t="str">
        <x:v>D</x:v>
      </x:c>
      <x:c r="B5" s="174" t="str">
        <x:v>engineering_production_planning</x:v>
      </x:c>
      <x:c r="C5" s="174" t="str">
        <x:v>Engineering &amp; Production Planning</x:v>
      </x:c>
      <x:c r="D5" s="174" t="str">
        <x:v>Engineering &amp; Planning</x:v>
      </x:c>
      <x:c r="E5" s="174" t="str">
        <x:v>PLACEHOLDER - process owner</x:v>
      </x:c>
      <x:c r="F5" s="174" t="str">
        <x:v>Order package, drawings, specifications, BOM requirements, customer notes</x:v>
      </x:c>
      <x:c r="G5" s="174" t="str">
        <x:v>Review drawings, create/revise BOMs and routings, prepare programming, release work instructions</x:v>
      </x:c>
      <x:c r="H5" s="174" t="str">
        <x:v>Production-ready job package, routings, BOMs, work instructions, programming requests</x:v>
      </x:c>
      <x:c r="I5" s="174" t="str">
        <x:v>Engineering review, revision control, producibility questions, release approval</x:v>
      </x:c>
      <x:c r="J5" s="174" t="str">
        <x:v>PLACEHOLDER - current software package(s)</x:v>
      </x:c>
      <x:c r="K5" s="174" t="str">
        <x:v>PLACEHOLDER - current AI / automation</x:v>
      </x:c>
      <x:c r="L5" s="174" t="str">
        <x:v>PLACEHOLDER - future PPS / integration opportunity</x:v>
      </x:c>
      <x:c r="M5" s="174" t="str">
        <x:v>PLACEHOLDER - manual work, delays, duplicate entry, quality risk</x:v>
      </x:c>
      <x:c r="N5" s="174" t="str">
        <x:v>PLACEHOLDER - improvement idea</x:v>
      </x:c>
      <x:c r="O5" s="174" t="str">
        <x:v>PLACEHOLDER - annual hours or time-savings estimate</x:v>
      </x:c>
      <x:c r="P5" s="174" t="str">
        <x:v>Current State</x:v>
      </x:c>
      <x:c r="Q5" s="176" t="n">
        <x:f>COUNTIF('Flowchart Edges'!$D$2:$D$21,B5)</x:f>
        <x:v>1</x:v>
      </x:c>
      <x:c r="R5" s="176" t="n">
        <x:f>COUNTIF('Flowchart Edges'!$E$2:$E$21,B5)</x:f>
        <x:v>1</x:v>
      </x:c>
      <x:c r="S5" s="176" t="n">
        <x:f>COUNTIF('Process Software'!$A$2:$A$91,B5)</x:f>
        <x:v>5</x:v>
      </x:c>
      <x:c r="T5" s="24" t="str">
        <x:v>Validate with the process owner before using in production.</x:v>
      </x:c>
    </x:row>
    <x:row r="6">
      <x:c r="A6" s="23" t="str">
        <x:v>E</x:v>
      </x:c>
      <x:c r="B6" s="174" t="str">
        <x:v>purchasing_supplier_management</x:v>
      </x:c>
      <x:c r="C6" s="174" t="str">
        <x:v>Purchasing &amp; Supplier Management</x:v>
      </x:c>
      <x:c r="D6" s="174" t="str">
        <x:v>Supply Chain</x:v>
      </x:c>
      <x:c r="E6" s="174" t="str">
        <x:v>PLACEHOLDER - process owner</x:v>
      </x:c>
      <x:c r="F6" s="174" t="str">
        <x:v>BOM, material requirements, supplier requirements, due dates, certifications needed</x:v>
      </x:c>
      <x:c r="G6" s="174" t="str">
        <x:v>Source material/services, issue purchase orders, expedite, manage supplier commitments</x:v>
      </x:c>
      <x:c r="H6" s="174" t="str">
        <x:v>Purchase orders, supplier confirmations, material ETA, outside-process plan</x:v>
      </x:c>
      <x:c r="I6" s="174" t="str">
        <x:v>Approved supplier, certification requirements, due-date and specification alignment</x:v>
      </x:c>
      <x:c r="J6" s="174" t="str">
        <x:v>PLACEHOLDER - current software package(s)</x:v>
      </x:c>
      <x:c r="K6" s="174" t="str">
        <x:v>PLACEHOLDER - current AI / automation</x:v>
      </x:c>
      <x:c r="L6" s="174" t="str">
        <x:v>PLACEHOLDER - future PPS / integration opportunity</x:v>
      </x:c>
      <x:c r="M6" s="174" t="str">
        <x:v>PLACEHOLDER - manual work, delays, duplicate entry, quality risk</x:v>
      </x:c>
      <x:c r="N6" s="174" t="str">
        <x:v>PLACEHOLDER - improvement idea</x:v>
      </x:c>
      <x:c r="O6" s="174" t="str">
        <x:v>PLACEHOLDER - annual hours or time-savings estimate</x:v>
      </x:c>
      <x:c r="P6" s="174" t="str">
        <x:v>Current State</x:v>
      </x:c>
      <x:c r="Q6" s="176" t="n">
        <x:f>COUNTIF('Flowchart Edges'!$D$2:$D$21,B6)</x:f>
        <x:v>1</x:v>
      </x:c>
      <x:c r="R6" s="176" t="n">
        <x:f>COUNTIF('Flowchart Edges'!$E$2:$E$21,B6)</x:f>
        <x:v>1</x:v>
      </x:c>
      <x:c r="S6" s="176" t="n">
        <x:f>COUNTIF('Process Software'!$A$2:$A$91,B6)</x:f>
        <x:v>5</x:v>
      </x:c>
      <x:c r="T6" s="24" t="str">
        <x:v>Validate with the process owner before using in production.</x:v>
      </x:c>
    </x:row>
    <x:row r="7">
      <x:c r="A7" s="23" t="str">
        <x:v>F</x:v>
      </x:c>
      <x:c r="B7" s="174" t="str">
        <x:v>receiving_material_control</x:v>
      </x:c>
      <x:c r="C7" s="174" t="str">
        <x:v>Receiving &amp; Material Control</x:v>
      </x:c>
      <x:c r="D7" s="174" t="str">
        <x:v>Supply Chain</x:v>
      </x:c>
      <x:c r="E7" s="174" t="str">
        <x:v>PLACEHOLDER - process owner</x:v>
      </x:c>
      <x:c r="F7" s="174" t="str">
        <x:v>Incoming material, packing slips, purchase orders, certificates, outside-process returns</x:v>
      </x:c>
      <x:c r="G7" s="174" t="str">
        <x:v>Receive, identify, inspect as required, record certs, move to inventory or job location</x:v>
      </x:c>
      <x:c r="H7" s="174" t="str">
        <x:v>Available material, receiving records, cert package, inventory transaction, discrepancies</x:v>
      </x:c>
      <x:c r="I7" s="174" t="str">
        <x:v>Receiving inspection, cert verification, material traceability, nonconformance trigger</x:v>
      </x:c>
      <x:c r="J7" s="174" t="str">
        <x:v>PLACEHOLDER - current software package(s)</x:v>
      </x:c>
      <x:c r="K7" s="174" t="str">
        <x:v>PLACEHOLDER - current AI / automation</x:v>
      </x:c>
      <x:c r="L7" s="174" t="str">
        <x:v>PLACEHOLDER - future PPS / integration opportunity</x:v>
      </x:c>
      <x:c r="M7" s="174" t="str">
        <x:v>PLACEHOLDER - manual work, delays, duplicate entry, quality risk</x:v>
      </x:c>
      <x:c r="N7" s="174" t="str">
        <x:v>PLACEHOLDER - improvement idea</x:v>
      </x:c>
      <x:c r="O7" s="174" t="str">
        <x:v>PLACEHOLDER - annual hours or time-savings estimate</x:v>
      </x:c>
      <x:c r="P7" s="174" t="str">
        <x:v>Current State</x:v>
      </x:c>
      <x:c r="Q7" s="176" t="n">
        <x:f>COUNTIF('Flowchart Edges'!$D$2:$D$21,B7)</x:f>
        <x:v>1</x:v>
      </x:c>
      <x:c r="R7" s="176" t="n">
        <x:f>COUNTIF('Flowchart Edges'!$E$2:$E$21,B7)</x:f>
        <x:v>1</x:v>
      </x:c>
      <x:c r="S7" s="176" t="n">
        <x:f>COUNTIF('Process Software'!$A$2:$A$91,B7)</x:f>
        <x:v>5</x:v>
      </x:c>
      <x:c r="T7" s="24" t="str">
        <x:v>Validate with the process owner before using in production.</x:v>
      </x:c>
    </x:row>
    <x:row r="8">
      <x:c r="A8" s="23" t="str">
        <x:v>G</x:v>
      </x:c>
      <x:c r="B8" s="174" t="str">
        <x:v>project_management</x:v>
      </x:c>
      <x:c r="C8" s="174" t="str">
        <x:v>Project Management</x:v>
      </x:c>
      <x:c r="D8" s="174" t="str">
        <x:v>Project Management</x:v>
      </x:c>
      <x:c r="E8" s="174" t="str">
        <x:v>PLACEHOLDER - process owner</x:v>
      </x:c>
      <x:c r="F8" s="174" t="str">
        <x:v>Released job, schedule, material status, customer commitments, risk/issues list</x:v>
      </x:c>
      <x:c r="G8" s="174" t="str">
        <x:v>Coordinate priorities, track milestones, manage blockers, communicate status, escalate risk</x:v>
      </x:c>
      <x:c r="H8" s="174" t="str">
        <x:v>Released/controlled shop work, schedule updates, status reporting, issue resolution</x:v>
      </x:c>
      <x:c r="I8" s="174" t="str">
        <x:v>Milestone review, customer due-date risk, resource conflicts, material readiness</x:v>
      </x:c>
      <x:c r="J8" s="174" t="str">
        <x:v>PLACEHOLDER - current software package(s)</x:v>
      </x:c>
      <x:c r="K8" s="174" t="str">
        <x:v>PLACEHOLDER - current AI / automation</x:v>
      </x:c>
      <x:c r="L8" s="174" t="str">
        <x:v>PLACEHOLDER - future PPS / integration opportunity</x:v>
      </x:c>
      <x:c r="M8" s="174" t="str">
        <x:v>PLACEHOLDER - manual work, delays, duplicate entry, quality risk</x:v>
      </x:c>
      <x:c r="N8" s="174" t="str">
        <x:v>PLACEHOLDER - improvement idea</x:v>
      </x:c>
      <x:c r="O8" s="174" t="str">
        <x:v>PLACEHOLDER - annual hours or time-savings estimate</x:v>
      </x:c>
      <x:c r="P8" s="174" t="str">
        <x:v>Current State</x:v>
      </x:c>
      <x:c r="Q8" s="176" t="n">
        <x:f>COUNTIF('Flowchart Edges'!$D$2:$D$21,B8)</x:f>
        <x:v>4</x:v>
      </x:c>
      <x:c r="R8" s="176" t="n">
        <x:f>COUNTIF('Flowchart Edges'!$E$2:$E$21,B8)</x:f>
        <x:v>1</x:v>
      </x:c>
      <x:c r="S8" s="176" t="n">
        <x:f>COUNTIF('Process Software'!$A$2:$A$91,B8)</x:f>
        <x:v>5</x:v>
      </x:c>
      <x:c r="T8" s="24" t="str">
        <x:v>Validate with the process owner before using in production.</x:v>
      </x:c>
    </x:row>
    <x:row r="9">
      <x:c r="A9" s="23" t="str">
        <x:v>H</x:v>
      </x:c>
      <x:c r="B9" s="174" t="str">
        <x:v>laser_waterjet</x:v>
      </x:c>
      <x:c r="C9" s="174" t="str">
        <x:v>Laser &amp; Waterjet</x:v>
      </x:c>
      <x:c r="D9" s="174" t="str">
        <x:v>Manufacturing</x:v>
      </x:c>
      <x:c r="E9" s="174" t="str">
        <x:v>PLACEHOLDER - process owner</x:v>
      </x:c>
      <x:c r="F9" s="174" t="str">
        <x:v>Released cut files, material, nesting plan, job traveler, inspection criteria</x:v>
      </x:c>
      <x:c r="G9" s="174" t="str">
        <x:v>Program/nest, stage material, cut parts, record completion and material usage</x:v>
      </x:c>
      <x:c r="H9" s="174" t="str">
        <x:v>Cut parts, remnants/scrap data, completion status, first-piece/in-process records</x:v>
      </x:c>
      <x:c r="I9" s="174" t="str">
        <x:v>Material match, nest verification, first-piece dimensional check, traceability</x:v>
      </x:c>
      <x:c r="J9" s="174" t="str">
        <x:v>PLACEHOLDER - current software package(s)</x:v>
      </x:c>
      <x:c r="K9" s="174" t="str">
        <x:v>PLACEHOLDER - current AI / automation</x:v>
      </x:c>
      <x:c r="L9" s="174" t="str">
        <x:v>PLACEHOLDER - future PPS / integration opportunity</x:v>
      </x:c>
      <x:c r="M9" s="174" t="str">
        <x:v>PLACEHOLDER - manual work, delays, duplicate entry, quality risk</x:v>
      </x:c>
      <x:c r="N9" s="174" t="str">
        <x:v>PLACEHOLDER - improvement idea</x:v>
      </x:c>
      <x:c r="O9" s="174" t="str">
        <x:v>PLACEHOLDER - annual hours or time-savings estimate</x:v>
      </x:c>
      <x:c r="P9" s="174" t="str">
        <x:v>Current State</x:v>
      </x:c>
      <x:c r="Q9" s="176" t="n">
        <x:f>COUNTIF('Flowchart Edges'!$D$2:$D$21,B9)</x:f>
        <x:v>1</x:v>
      </x:c>
      <x:c r="R9" s="176" t="n">
        <x:f>COUNTIF('Flowchart Edges'!$E$2:$E$21,B9)</x:f>
        <x:v>1</x:v>
      </x:c>
      <x:c r="S9" s="176" t="n">
        <x:f>COUNTIF('Process Software'!$A$2:$A$91,B9)</x:f>
        <x:v>5</x:v>
      </x:c>
      <x:c r="T9" s="24" t="str">
        <x:v>Validate with the process owner before using in production.</x:v>
      </x:c>
    </x:row>
    <x:row r="10">
      <x:c r="A10" s="23" t="str">
        <x:v>I</x:v>
      </x:c>
      <x:c r="B10" s="174" t="str">
        <x:v>bending</x:v>
      </x:c>
      <x:c r="C10" s="174" t="str">
        <x:v>Bending</x:v>
      </x:c>
      <x:c r="D10" s="174" t="str">
        <x:v>Manufacturing</x:v>
      </x:c>
      <x:c r="E10" s="174" t="str">
        <x:v>PLACEHOLDER - process owner</x:v>
      </x:c>
      <x:c r="F10" s="174" t="str">
        <x:v>Cut parts, bend programs, tooling requirements, drawings, setup instructions</x:v>
      </x:c>
      <x:c r="G10" s="174" t="str">
        <x:v>Select tooling, set up brake, form parts, verify critical dimensions</x:v>
      </x:c>
      <x:c r="H10" s="174" t="str">
        <x:v>Formed parts, production status, setup notes, dimensional checks</x:v>
      </x:c>
      <x:c r="I10" s="174" t="str">
        <x:v>Tooling/setup verification, first-piece inspection, bend angle and feature checks</x:v>
      </x:c>
      <x:c r="J10" s="174" t="str">
        <x:v>PLACEHOLDER - current software package(s)</x:v>
      </x:c>
      <x:c r="K10" s="174" t="str">
        <x:v>PLACEHOLDER - current AI / automation</x:v>
      </x:c>
      <x:c r="L10" s="174" t="str">
        <x:v>PLACEHOLDER - future PPS / integration opportunity</x:v>
      </x:c>
      <x:c r="M10" s="174" t="str">
        <x:v>PLACEHOLDER - manual work, delays, duplicate entry, quality risk</x:v>
      </x:c>
      <x:c r="N10" s="174" t="str">
        <x:v>PLACEHOLDER - improvement idea</x:v>
      </x:c>
      <x:c r="O10" s="174" t="str">
        <x:v>PLACEHOLDER - annual hours or time-savings estimate</x:v>
      </x:c>
      <x:c r="P10" s="174" t="str">
        <x:v>Current State</x:v>
      </x:c>
      <x:c r="Q10" s="176" t="n">
        <x:f>COUNTIF('Flowchart Edges'!$D$2:$D$21,B10)</x:f>
        <x:v>1</x:v>
      </x:c>
      <x:c r="R10" s="176" t="n">
        <x:f>COUNTIF('Flowchart Edges'!$E$2:$E$21,B10)</x:f>
        <x:v>1</x:v>
      </x:c>
      <x:c r="S10" s="176" t="n">
        <x:f>COUNTIF('Process Software'!$A$2:$A$91,B10)</x:f>
        <x:v>5</x:v>
      </x:c>
      <x:c r="T10" s="24" t="str">
        <x:v>Validate with the process owner before using in production.</x:v>
      </x:c>
    </x:row>
    <x:row r="11">
      <x:c r="A11" s="23" t="str">
        <x:v>J</x:v>
      </x:c>
      <x:c r="B11" s="174" t="str">
        <x:v>machining</x:v>
      </x:c>
      <x:c r="C11" s="174" t="str">
        <x:v>Machining</x:v>
      </x:c>
      <x:c r="D11" s="174" t="str">
        <x:v>Manufacturing</x:v>
      </x:c>
      <x:c r="E11" s="174" t="str">
        <x:v>PLACEHOLDER - process owner</x:v>
      </x:c>
      <x:c r="F11" s="174" t="str">
        <x:v>Material/parts, CNC programs, tooling, drawings, inspection requirements</x:v>
      </x:c>
      <x:c r="G11" s="174" t="str">
        <x:v>Program/setup machine, machine features, inspect critical dimensions, record completion</x:v>
      </x:c>
      <x:c r="H11" s="174" t="str">
        <x:v>Machined parts, inspection records, setup/cycle notes, work-center status</x:v>
      </x:c>
      <x:c r="I11" s="174" t="str">
        <x:v>Program verification, tooling verification, first-piece/in-process inspection</x:v>
      </x:c>
      <x:c r="J11" s="174" t="str">
        <x:v>PLACEHOLDER - current software package(s)</x:v>
      </x:c>
      <x:c r="K11" s="174" t="str">
        <x:v>PLACEHOLDER - current AI / automation</x:v>
      </x:c>
      <x:c r="L11" s="174" t="str">
        <x:v>PLACEHOLDER - future PPS / integration opportunity</x:v>
      </x:c>
      <x:c r="M11" s="174" t="str">
        <x:v>PLACEHOLDER - manual work, delays, duplicate entry, quality risk</x:v>
      </x:c>
      <x:c r="N11" s="174" t="str">
        <x:v>PLACEHOLDER - improvement idea</x:v>
      </x:c>
      <x:c r="O11" s="174" t="str">
        <x:v>PLACEHOLDER - annual hours or time-savings estimate</x:v>
      </x:c>
      <x:c r="P11" s="174" t="str">
        <x:v>Current State</x:v>
      </x:c>
      <x:c r="Q11" s="176" t="n">
        <x:f>COUNTIF('Flowchart Edges'!$D$2:$D$21,B11)</x:f>
        <x:v>1</x:v>
      </x:c>
      <x:c r="R11" s="176" t="n">
        <x:f>COUNTIF('Flowchart Edges'!$E$2:$E$21,B11)</x:f>
        <x:v>1</x:v>
      </x:c>
      <x:c r="S11" s="176" t="n">
        <x:f>COUNTIF('Process Software'!$A$2:$A$91,B11)</x:f>
        <x:v>5</x:v>
      </x:c>
      <x:c r="T11" s="24" t="str">
        <x:v>Validate with the process owner before using in production.</x:v>
      </x:c>
    </x:row>
    <x:row r="12">
      <x:c r="A12" s="23" t="str">
        <x:v>K</x:v>
      </x:c>
      <x:c r="B12" s="174" t="str">
        <x:v>welding</x:v>
      </x:c>
      <x:c r="C12" s="174" t="str">
        <x:v>Welding</x:v>
      </x:c>
      <x:c r="D12" s="174" t="str">
        <x:v>Manufacturing</x:v>
      </x:c>
      <x:c r="E12" s="174" t="str">
        <x:v>PLACEHOLDER - process owner</x:v>
      </x:c>
      <x:c r="F12" s="174" t="str">
        <x:v>Cut/formed/machined parts, weld procedures, fixtures, qualifications, drawings</x:v>
      </x:c>
      <x:c r="G12" s="174" t="str">
        <x:v>Fit-up, tack, weld, inspect welds, document required qualification records</x:v>
      </x:c>
      <x:c r="H12" s="174" t="str">
        <x:v>Welded assemblies, weld records, inspection status, rework/nonconformance triggers</x:v>
      </x:c>
      <x:c r="I12" s="174" t="str">
        <x:v>Fit-up inspection, WPS/PQR/WPQ requirements, visual weld inspection, dimensional checks</x:v>
      </x:c>
      <x:c r="J12" s="174" t="str">
        <x:v>PLACEHOLDER - current software package(s)</x:v>
      </x:c>
      <x:c r="K12" s="174" t="str">
        <x:v>PLACEHOLDER - current AI / automation</x:v>
      </x:c>
      <x:c r="L12" s="174" t="str">
        <x:v>PLACEHOLDER - future PPS / integration opportunity</x:v>
      </x:c>
      <x:c r="M12" s="174" t="str">
        <x:v>PLACEHOLDER - manual work, delays, duplicate entry, quality risk</x:v>
      </x:c>
      <x:c r="N12" s="174" t="str">
        <x:v>PLACEHOLDER - improvement idea</x:v>
      </x:c>
      <x:c r="O12" s="174" t="str">
        <x:v>PLACEHOLDER - annual hours or time-savings estimate</x:v>
      </x:c>
      <x:c r="P12" s="174" t="str">
        <x:v>Current State</x:v>
      </x:c>
      <x:c r="Q12" s="176" t="n">
        <x:f>COUNTIF('Flowchart Edges'!$D$2:$D$21,B12)</x:f>
        <x:v>1</x:v>
      </x:c>
      <x:c r="R12" s="176" t="n">
        <x:f>COUNTIF('Flowchart Edges'!$E$2:$E$21,B12)</x:f>
        <x:v>1</x:v>
      </x:c>
      <x:c r="S12" s="176" t="n">
        <x:f>COUNTIF('Process Software'!$A$2:$A$91,B12)</x:f>
        <x:v>5</x:v>
      </x:c>
      <x:c r="T12" s="24" t="str">
        <x:v>Validate with the process owner before using in production.</x:v>
      </x:c>
    </x:row>
    <x:row r="13">
      <x:c r="A13" s="23" t="str">
        <x:v>L</x:v>
      </x:c>
      <x:c r="B13" s="174" t="str">
        <x:v>grinding_finishing</x:v>
      </x:c>
      <x:c r="C13" s="174" t="str">
        <x:v>Grinding &amp; Finishing</x:v>
      </x:c>
      <x:c r="D13" s="174" t="str">
        <x:v>Finishing &amp; Special Processes</x:v>
      </x:c>
      <x:c r="E13" s="174" t="str">
        <x:v>PLACEHOLDER - process owner</x:v>
      </x:c>
      <x:c r="F13" s="174" t="str">
        <x:v>Fabricated parts/assemblies, finish requirements, rework notes, inspection requirements</x:v>
      </x:c>
      <x:c r="G13" s="174" t="str">
        <x:v>Deburr, grind, blend, surface prep, confirm cosmetic/functional finish needs</x:v>
      </x:c>
      <x:c r="H13" s="174" t="str">
        <x:v>Finished parts ready for coating/marking/assembly, finish status, rework notes</x:v>
      </x:c>
      <x:c r="I13" s="174" t="str">
        <x:v>Surface finish check, burr/sharp-edge check, dimensional impact review</x:v>
      </x:c>
      <x:c r="J13" s="174" t="str">
        <x:v>PLACEHOLDER - current software package(s)</x:v>
      </x:c>
      <x:c r="K13" s="174" t="str">
        <x:v>PLACEHOLDER - current AI / automation</x:v>
      </x:c>
      <x:c r="L13" s="174" t="str">
        <x:v>PLACEHOLDER - future PPS / integration opportunity</x:v>
      </x:c>
      <x:c r="M13" s="174" t="str">
        <x:v>PLACEHOLDER - manual work, delays, duplicate entry, quality risk</x:v>
      </x:c>
      <x:c r="N13" s="174" t="str">
        <x:v>PLACEHOLDER - improvement idea</x:v>
      </x:c>
      <x:c r="O13" s="174" t="str">
        <x:v>PLACEHOLDER - annual hours or time-savings estimate</x:v>
      </x:c>
      <x:c r="P13" s="174" t="str">
        <x:v>Current State</x:v>
      </x:c>
      <x:c r="Q13" s="176" t="n">
        <x:f>COUNTIF('Flowchart Edges'!$D$2:$D$21,B13)</x:f>
        <x:v>1</x:v>
      </x:c>
      <x:c r="R13" s="176" t="n">
        <x:f>COUNTIF('Flowchart Edges'!$E$2:$E$21,B13)</x:f>
        <x:v>4</x:v>
      </x:c>
      <x:c r="S13" s="176" t="n">
        <x:f>COUNTIF('Process Software'!$A$2:$A$91,B13)</x:f>
        <x:v>5</x:v>
      </x:c>
      <x:c r="T13" s="24" t="str">
        <x:v>Validate with the process owner before using in production.</x:v>
      </x:c>
    </x:row>
    <x:row r="14">
      <x:c r="A14" s="23" t="str">
        <x:v>M</x:v>
      </x:c>
      <x:c r="B14" s="174" t="str">
        <x:v>coatings</x:v>
      </x:c>
      <x:c r="C14" s="174" t="str">
        <x:v>Coatings</x:v>
      </x:c>
      <x:c r="D14" s="174" t="str">
        <x:v>Finishing &amp; Special Processes</x:v>
      </x:c>
      <x:c r="E14" s="174" t="str">
        <x:v>PLACEHOLDER - process owner</x:v>
      </x:c>
      <x:c r="F14" s="174" t="str">
        <x:v>Finished parts, coating specifications, color/finish requirements, supplier/internal route</x:v>
      </x:c>
      <x:c r="G14" s="174" t="str">
        <x:v>Prepare coating order, track outside/internal coating, verify certs and finish requirements</x:v>
      </x:c>
      <x:c r="H14" s="174" t="str">
        <x:v>Coated parts, coating records/certs, status update, discrepancy record if needed</x:v>
      </x:c>
      <x:c r="I14" s="174" t="str">
        <x:v>Specification verification, cert review, coating quality inspection</x:v>
      </x:c>
      <x:c r="J14" s="174" t="str">
        <x:v>PLACEHOLDER - current software package(s)</x:v>
      </x:c>
      <x:c r="K14" s="174" t="str">
        <x:v>PLACEHOLDER - current AI / automation</x:v>
      </x:c>
      <x:c r="L14" s="174" t="str">
        <x:v>PLACEHOLDER - future PPS / integration opportunity</x:v>
      </x:c>
      <x:c r="M14" s="174" t="str">
        <x:v>PLACEHOLDER - manual work, delays, duplicate entry, quality risk</x:v>
      </x:c>
      <x:c r="N14" s="174" t="str">
        <x:v>PLACEHOLDER - improvement idea</x:v>
      </x:c>
      <x:c r="O14" s="174" t="str">
        <x:v>PLACEHOLDER - annual hours or time-savings estimate</x:v>
      </x:c>
      <x:c r="P14" s="174" t="str">
        <x:v>Current State</x:v>
      </x:c>
      <x:c r="Q14" s="176" t="n">
        <x:f>COUNTIF('Flowchart Edges'!$D$2:$D$21,B14)</x:f>
        <x:v>1</x:v>
      </x:c>
      <x:c r="R14" s="176" t="n">
        <x:f>COUNTIF('Flowchart Edges'!$E$2:$E$21,B14)</x:f>
        <x:v>1</x:v>
      </x:c>
      <x:c r="S14" s="176" t="n">
        <x:f>COUNTIF('Process Software'!$A$2:$A$91,B14)</x:f>
        <x:v>5</x:v>
      </x:c>
      <x:c r="T14" s="24" t="str">
        <x:v>Validate with the process owner before using in production.</x:v>
      </x:c>
    </x:row>
    <x:row r="15">
      <x:c r="A15" s="23" t="str">
        <x:v>N</x:v>
      </x:c>
      <x:c r="B15" s="174" t="str">
        <x:v>marking</x:v>
      </x:c>
      <x:c r="C15" s="174" t="str">
        <x:v>Marking</x:v>
      </x:c>
      <x:c r="D15" s="174" t="str">
        <x:v>Finishing &amp; Special Processes</x:v>
      </x:c>
      <x:c r="E15" s="174" t="str">
        <x:v>PLACEHOLDER - process owner</x:v>
      </x:c>
      <x:c r="F15" s="174" t="str">
        <x:v>Coated/finished parts, marking requirements, artwork, labels, serialization data</x:v>
      </x:c>
      <x:c r="G15" s="174" t="str">
        <x:v>Apply labels, engraving, silk screen, laser marking, verify placement and content</x:v>
      </x:c>
      <x:c r="H15" s="174" t="str">
        <x:v>Marked parts, marking records, serialization/trace data, inspection status</x:v>
      </x:c>
      <x:c r="I15" s="174" t="str">
        <x:v>MIL-STD-130 or customer requirement check, placement/content verification</x:v>
      </x:c>
      <x:c r="J15" s="174" t="str">
        <x:v>PLACEHOLDER - current software package(s)</x:v>
      </x:c>
      <x:c r="K15" s="174" t="str">
        <x:v>PLACEHOLDER - current AI / automation</x:v>
      </x:c>
      <x:c r="L15" s="174" t="str">
        <x:v>PLACEHOLDER - future PPS / integration opportunity</x:v>
      </x:c>
      <x:c r="M15" s="174" t="str">
        <x:v>PLACEHOLDER - manual work, delays, duplicate entry, quality risk</x:v>
      </x:c>
      <x:c r="N15" s="174" t="str">
        <x:v>PLACEHOLDER - improvement idea</x:v>
      </x:c>
      <x:c r="O15" s="174" t="str">
        <x:v>PLACEHOLDER - annual hours or time-savings estimate</x:v>
      </x:c>
      <x:c r="P15" s="174" t="str">
        <x:v>Current State</x:v>
      </x:c>
      <x:c r="Q15" s="176" t="n">
        <x:f>COUNTIF('Flowchart Edges'!$D$2:$D$21,B15)</x:f>
        <x:v>1</x:v>
      </x:c>
      <x:c r="R15" s="176" t="n">
        <x:f>COUNTIF('Flowchart Edges'!$E$2:$E$21,B15)</x:f>
        <x:v>1</x:v>
      </x:c>
      <x:c r="S15" s="176" t="n">
        <x:f>COUNTIF('Process Software'!$A$2:$A$91,B15)</x:f>
        <x:v>5</x:v>
      </x:c>
      <x:c r="T15" s="24" t="str">
        <x:v>Validate with the process owner before using in production.</x:v>
      </x:c>
    </x:row>
    <x:row r="16">
      <x:c r="A16" s="23" t="str">
        <x:v>O</x:v>
      </x:c>
      <x:c r="B16" s="174" t="str">
        <x:v>assembly</x:v>
      </x:c>
      <x:c r="C16" s="174" t="str">
        <x:v>Assembly</x:v>
      </x:c>
      <x:c r="D16" s="174" t="str">
        <x:v>Assembly &amp; Test</x:v>
      </x:c>
      <x:c r="E16" s="174" t="str">
        <x:v>PLACEHOLDER - process owner</x:v>
      </x:c>
      <x:c r="F16" s="174" t="str">
        <x:v>Kitted parts, work instructions, hardware, wiring, tools, drawings, shortages list</x:v>
      </x:c>
      <x:c r="G16" s="174" t="str">
        <x:v>Assemble components, record progress, resolve shortages, perform build checks</x:v>
      </x:c>
      <x:c r="H16" s="174" t="str">
        <x:v>Completed assembly, build records, shortage/rework notes, test-ready unit</x:v>
      </x:c>
      <x:c r="I16" s="174" t="str">
        <x:v>Assembly verification, torque/fit checks, traveler signoff, shortage closure</x:v>
      </x:c>
      <x:c r="J16" s="174" t="str">
        <x:v>PLACEHOLDER - current software package(s)</x:v>
      </x:c>
      <x:c r="K16" s="174" t="str">
        <x:v>PLACEHOLDER - current AI / automation</x:v>
      </x:c>
      <x:c r="L16" s="174" t="str">
        <x:v>PLACEHOLDER - future PPS / integration opportunity</x:v>
      </x:c>
      <x:c r="M16" s="174" t="str">
        <x:v>PLACEHOLDER - manual work, delays, duplicate entry, quality risk</x:v>
      </x:c>
      <x:c r="N16" s="174" t="str">
        <x:v>PLACEHOLDER - improvement idea</x:v>
      </x:c>
      <x:c r="O16" s="174" t="str">
        <x:v>PLACEHOLDER - annual hours or time-savings estimate</x:v>
      </x:c>
      <x:c r="P16" s="174" t="str">
        <x:v>Current State</x:v>
      </x:c>
      <x:c r="Q16" s="176" t="n">
        <x:f>COUNTIF('Flowchart Edges'!$D$2:$D$21,B16)</x:f>
        <x:v>1</x:v>
      </x:c>
      <x:c r="R16" s="176" t="n">
        <x:f>COUNTIF('Flowchart Edges'!$E$2:$E$21,B16)</x:f>
        <x:v>1</x:v>
      </x:c>
      <x:c r="S16" s="176" t="n">
        <x:f>COUNTIF('Process Software'!$A$2:$A$91,B16)</x:f>
        <x:v>5</x:v>
      </x:c>
      <x:c r="T16" s="24" t="str">
        <x:v>Validate with the process owner before using in production.</x:v>
      </x:c>
    </x:row>
    <x:row r="17">
      <x:c r="A17" s="23" t="str">
        <x:v>P</x:v>
      </x:c>
      <x:c r="B17" s="174" t="str">
        <x:v>testing</x:v>
      </x:c>
      <x:c r="C17" s="174" t="str">
        <x:v>Testing</x:v>
      </x:c>
      <x:c r="D17" s="174" t="str">
        <x:v>Assembly &amp; Test</x:v>
      </x:c>
      <x:c r="E17" s="174" t="str">
        <x:v>PLACEHOLDER - process owner</x:v>
      </x:c>
      <x:c r="F17" s="174" t="str">
        <x:v>Completed assembly, test procedure, equipment, acceptance criteria, customer requirements</x:v>
      </x:c>
      <x:c r="G17" s="174" t="str">
        <x:v>Run required tests, collect results, document failures, route rework if needed</x:v>
      </x:c>
      <x:c r="H17" s="174" t="str">
        <x:v>Test results, accepted/rejected status, rework actions, final inspection package</x:v>
      </x:c>
      <x:c r="I17" s="174" t="str">
        <x:v>Procedure adherence, equipment calibration, data completeness, acceptance criteria</x:v>
      </x:c>
      <x:c r="J17" s="174" t="str">
        <x:v>PLACEHOLDER - current software package(s)</x:v>
      </x:c>
      <x:c r="K17" s="174" t="str">
        <x:v>PLACEHOLDER - current AI / automation</x:v>
      </x:c>
      <x:c r="L17" s="174" t="str">
        <x:v>PLACEHOLDER - future PPS / integration opportunity</x:v>
      </x:c>
      <x:c r="M17" s="174" t="str">
        <x:v>PLACEHOLDER - manual work, delays, duplicate entry, quality risk</x:v>
      </x:c>
      <x:c r="N17" s="174" t="str">
        <x:v>PLACEHOLDER - improvement idea</x:v>
      </x:c>
      <x:c r="O17" s="174" t="str">
        <x:v>PLACEHOLDER - annual hours or time-savings estimate</x:v>
      </x:c>
      <x:c r="P17" s="174" t="str">
        <x:v>Current State</x:v>
      </x:c>
      <x:c r="Q17" s="176" t="n">
        <x:f>COUNTIF('Flowchart Edges'!$D$2:$D$21,B17)</x:f>
        <x:v>1</x:v>
      </x:c>
      <x:c r="R17" s="176" t="n">
        <x:f>COUNTIF('Flowchart Edges'!$E$2:$E$21,B17)</x:f>
        <x:v>1</x:v>
      </x:c>
      <x:c r="S17" s="176" t="n">
        <x:f>COUNTIF('Process Software'!$A$2:$A$91,B17)</x:f>
        <x:v>5</x:v>
      </x:c>
      <x:c r="T17" s="24" t="str">
        <x:v>Validate with the process owner before using in production.</x:v>
      </x:c>
    </x:row>
    <x:row r="18">
      <x:c r="A18" s="23" t="str">
        <x:v>Q</x:v>
      </x:c>
      <x:c r="B18" s="174" t="str">
        <x:v>final_quality_assurance</x:v>
      </x:c>
      <x:c r="C18" s="174" t="str">
        <x:v>Final Quality Assurance</x:v>
      </x:c>
      <x:c r="D18" s="174" t="str">
        <x:v>Quality Assurance</x:v>
      </x:c>
      <x:c r="E18" s="174" t="str">
        <x:v>PLACEHOLDER - process owner</x:v>
      </x:c>
      <x:c r="F18" s="174" t="str">
        <x:v>Completed/tested item, traveler, cert package, inspection plan, customer requirements</x:v>
      </x:c>
      <x:c r="G18" s="174" t="str">
        <x:v>Final inspection, documentation review, nonconformance handling, release approval</x:v>
      </x:c>
      <x:c r="H18" s="174" t="str">
        <x:v>Accepted product, final documentation package, shipping release or rework instruction</x:v>
      </x:c>
      <x:c r="I18" s="174" t="str">
        <x:v>Final inspection, documentation completeness, cert traceability, release authorization</x:v>
      </x:c>
      <x:c r="J18" s="174" t="str">
        <x:v>PLACEHOLDER - current software package(s)</x:v>
      </x:c>
      <x:c r="K18" s="174" t="str">
        <x:v>PLACEHOLDER - current AI / automation</x:v>
      </x:c>
      <x:c r="L18" s="174" t="str">
        <x:v>PLACEHOLDER - future PPS / integration opportunity</x:v>
      </x:c>
      <x:c r="M18" s="174" t="str">
        <x:v>PLACEHOLDER - manual work, delays, duplicate entry, quality risk</x:v>
      </x:c>
      <x:c r="N18" s="174" t="str">
        <x:v>PLACEHOLDER - improvement idea</x:v>
      </x:c>
      <x:c r="O18" s="174" t="str">
        <x:v>PLACEHOLDER - annual hours or time-savings estimate</x:v>
      </x:c>
      <x:c r="P18" s="174" t="str">
        <x:v>Current State</x:v>
      </x:c>
      <x:c r="Q18" s="176" t="n">
        <x:f>COUNTIF('Flowchart Edges'!$D$2:$D$21,B18)</x:f>
        <x:v>1</x:v>
      </x:c>
      <x:c r="R18" s="176" t="n">
        <x:f>COUNTIF('Flowchart Edges'!$E$2:$E$21,B18)</x:f>
        <x:v>1</x:v>
      </x:c>
      <x:c r="S18" s="176" t="n">
        <x:f>COUNTIF('Process Software'!$A$2:$A$91,B18)</x:f>
        <x:v>5</x:v>
      </x:c>
      <x:c r="T18" s="24" t="str">
        <x:v>Validate with the process owner before using in production.</x:v>
      </x:c>
    </x:row>
    <x:row r="19">
      <x:c r="A19" s="23" t="str">
        <x:v>R</x:v>
      </x:c>
      <x:c r="B19" s="174" t="str">
        <x:v>shipping_customer_delivery</x:v>
      </x:c>
      <x:c r="C19" s="174" t="str">
        <x:v>Shipping &amp; Customer Delivery</x:v>
      </x:c>
      <x:c r="D19" s="174" t="str">
        <x:v>Shipping</x:v>
      </x:c>
      <x:c r="E19" s="174" t="str">
        <x:v>PLACEHOLDER - process owner</x:v>
      </x:c>
      <x:c r="F19" s="174" t="str">
        <x:v>Released product, packing requirements, shipment documents, customer delivery requirements</x:v>
      </x:c>
      <x:c r="G19" s="174" t="str">
        <x:v>Pack, label, prepare documents, ship, notify customer, close delivery tasks</x:v>
      </x:c>
      <x:c r="H19" s="174" t="str">
        <x:v>Customer shipment, tracking information, delivery records, invoice trigger</x:v>
      </x:c>
      <x:c r="I19" s="174" t="str">
        <x:v>Shipping release, packaging verification, document packet check, carrier/tracking validation</x:v>
      </x:c>
      <x:c r="J19" s="174" t="str">
        <x:v>PLACEHOLDER - current software package(s)</x:v>
      </x:c>
      <x:c r="K19" s="174" t="str">
        <x:v>PLACEHOLDER - current AI / automation</x:v>
      </x:c>
      <x:c r="L19" s="174" t="str">
        <x:v>PLACEHOLDER - future PPS / integration opportunity</x:v>
      </x:c>
      <x:c r="M19" s="174" t="str">
        <x:v>PLACEHOLDER - manual work, delays, duplicate entry, quality risk</x:v>
      </x:c>
      <x:c r="N19" s="174" t="str">
        <x:v>PLACEHOLDER - improvement idea</x:v>
      </x:c>
      <x:c r="O19" s="174" t="str">
        <x:v>PLACEHOLDER - annual hours or time-savings estimate</x:v>
      </x:c>
      <x:c r="P19" s="174" t="str">
        <x:v>Current State</x:v>
      </x:c>
      <x:c r="Q19" s="176" t="n">
        <x:f>COUNTIF('Flowchart Edges'!$D$2:$D$21,B19)</x:f>
        <x:v>0</x:v>
      </x:c>
      <x:c r="R19" s="176" t="n">
        <x:f>COUNTIF('Flowchart Edges'!$E$2:$E$21,B19)</x:f>
        <x:v>1</x:v>
      </x:c>
      <x:c r="S19" s="176" t="n">
        <x:f>COUNTIF('Process Software'!$A$2:$A$91,B19)</x:f>
        <x:v>5</x:v>
      </x:c>
      <x:c r="T19" s="24" t="str">
        <x:v>Validate with the process owner before using in production.</x:v>
      </x:c>
    </x:row>
  </x:sheetData>
  <x:dataValidations count="2">
    <x:dataValidation type="list" sqref="D2:D19">
      <x:formula1>"Sales &amp; Quoting,Order Processing,Engineering &amp; Planning,Supply Chain,Project Management,Manufacturing,Finishing &amp; Special Processes,Assembly &amp; Test,Quality Assurance,Shipping"</x:formula1>
    </x:dataValidation>
    <x:dataValidation type="list" sqref="P2:P19">
      <x:formula1>"Current State,In Review,Active Project,Future Opportunity,Not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2b58b4ac1d40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34" hidden="0" customWidth="1"/>
    <x:col min="4" max="4" width="24" hidden="0" customWidth="1"/>
    <x:col min="5" max="5" width="34" hidden="0" customWidth="1"/>
    <x:col min="6" max="6" width="22" hidden="0" customWidth="1"/>
    <x:col min="7" max="7" width="28" hidden="0" customWidth="1"/>
    <x:col min="8" max="8" width="34" hidden="0" customWidth="1"/>
    <x:col min="9" max="9" width="38" hidden="0" customWidth="1"/>
    <x:col min="10" max="10" width="28" hidden="0" customWidth="1"/>
    <x:col min="11" max="11" width="38" hidden="0" customWidth="1"/>
  </x:cols>
  <x:sheetData>
    <x:row r="1">
      <x:c r="A1" s="11" t="str">
        <x:v>node_id</x:v>
      </x:c>
      <x:c r="B1" s="11" t="str">
        <x:v>flowchart_key</x:v>
      </x:c>
      <x:c r="C1" s="11" t="str">
        <x:v>process_area</x:v>
      </x:c>
      <x:c r="D1" s="11" t="str">
        <x:v>software_category</x:v>
      </x:c>
      <x:c r="E1" s="11" t="str">
        <x:v>package_name_placeholder</x:v>
      </x:c>
      <x:c r="F1" s="11" t="str">
        <x:v>current_or_future</x:v>
      </x:c>
      <x:c r="G1" s="11" t="str">
        <x:v>system_owner_placeholder</x:v>
      </x:c>
      <x:c r="H1" s="11" t="str">
        <x:v>integration_direction_placeholder</x:v>
      </x:c>
      <x:c r="I1" s="11" t="str">
        <x:v>key_data_objects_placeholder</x:v>
      </x:c>
      <x:c r="J1" s="11" t="str">
        <x:v>react_detail_field</x:v>
      </x:c>
      <x:c r="K1" s="11" t="str">
        <x:v>notes</x:v>
      </x:c>
    </x:row>
    <x:row r="2">
      <x:c r="A2" s="21" t="str">
        <x:v>sales_customer_opportunities</x:v>
      </x:c>
      <x:c r="B2" s="173" t="str">
        <x:v>A</x:v>
      </x:c>
      <x:c r="C2" s="173" t="str">
        <x:v>Sales &amp; Customer Opportunities</x:v>
      </x:c>
      <x:c r="D2" s="173" t="str">
        <x:v>ERP/MRP System</x:v>
      </x:c>
      <x:c r="E2" s="173" t="str">
        <x:v>PLACEHOLDER - enter software package</x:v>
      </x:c>
      <x:c r="F2" s="173" t="str">
        <x:v>Current / Placeholder</x:v>
      </x:c>
      <x:c r="G2" s="173" t="str">
        <x:v>PLACEHOLDER - owner</x:v>
      </x:c>
      <x:c r="H2" s="173" t="str">
        <x:v>PLACEHOLDER - integration direction</x:v>
      </x:c>
      <x:c r="I2" s="173" t="str">
        <x:v>PLACEHOLDER - key records/data objects</x:v>
      </x:c>
      <x:c r="J2" s="173" t="str">
        <x:v>erp_mrp_system</x:v>
      </x:c>
      <x:c r="K2" s="22" t="str">
        <x:v>Update this row before building the React detail panel.</x:v>
      </x:c>
    </x:row>
    <x:row r="3">
      <x:c r="A3" s="23" t="str">
        <x:v>sales_customer_opportunities</x:v>
      </x:c>
      <x:c r="B3" s="174" t="str">
        <x:v>A</x:v>
      </x:c>
      <x:c r="C3" s="174" t="str">
        <x:v>Sales &amp; Customer Opportunities</x:v>
      </x:c>
      <x:c r="D3" s="174" t="str">
        <x:v>Department Software</x:v>
      </x:c>
      <x:c r="E3" s="174" t="str">
        <x:v>PLACEHOLDER - enter software package</x:v>
      </x:c>
      <x:c r="F3" s="174" t="str">
        <x:v>Current / Placeholder</x:v>
      </x:c>
      <x:c r="G3" s="174" t="str">
        <x:v>PLACEHOLDER - owner</x:v>
      </x:c>
      <x:c r="H3" s="174" t="str">
        <x:v>PLACEHOLDER - integration direction</x:v>
      </x:c>
      <x:c r="I3" s="174" t="str">
        <x:v>PLACEHOLDER - key records/data objects</x:v>
      </x:c>
      <x:c r="J3" s="174" t="str">
        <x:v>department_software</x:v>
      </x:c>
      <x:c r="K3" s="24" t="str">
        <x:v>Update this row before building the React detail panel.</x:v>
      </x:c>
    </x:row>
    <x:row r="4">
      <x:c r="A4" s="23" t="str">
        <x:v>sales_customer_opportunities</x:v>
      </x:c>
      <x:c r="B4" s="174" t="str">
        <x:v>A</x:v>
      </x:c>
      <x:c r="C4" s="174" t="str">
        <x:v>Sales &amp; Customer Opportunities</x:v>
      </x:c>
      <x:c r="D4" s="174" t="str">
        <x:v>Spreadsheet/Tracker</x:v>
      </x:c>
      <x:c r="E4" s="174" t="str">
        <x:v>PLACEHOLDER - enter software package</x:v>
      </x:c>
      <x:c r="F4" s="174" t="str">
        <x:v>Current / Placeholder</x:v>
      </x:c>
      <x:c r="G4" s="174" t="str">
        <x:v>PLACEHOLDER - owner</x:v>
      </x:c>
      <x:c r="H4" s="174" t="str">
        <x:v>PLACEHOLDER - integration direction</x:v>
      </x:c>
      <x:c r="I4" s="174" t="str">
        <x:v>PLACEHOLDER - key records/data objects</x:v>
      </x:c>
      <x:c r="J4" s="174" t="str">
        <x:v>spreadsheet_tracker</x:v>
      </x:c>
      <x:c r="K4" s="24" t="str">
        <x:v>Update this row before building the React detail panel.</x:v>
      </x:c>
    </x:row>
    <x:row r="5">
      <x:c r="A5" s="23" t="str">
        <x:v>sales_customer_opportunities</x:v>
      </x:c>
      <x:c r="B5" s="174" t="str">
        <x:v>A</x:v>
      </x:c>
      <x:c r="C5" s="174" t="str">
        <x:v>Sales &amp; Customer Opportunities</x:v>
      </x:c>
      <x:c r="D5" s="174" t="str">
        <x:v>AI/Automation</x:v>
      </x:c>
      <x:c r="E5" s="174" t="str">
        <x:v>PLACEHOLDER - enter software package</x:v>
      </x:c>
      <x:c r="F5" s="174" t="str">
        <x:v>Current / Placeholder</x:v>
      </x:c>
      <x:c r="G5" s="174" t="str">
        <x:v>PLACEHOLDER - owner</x:v>
      </x:c>
      <x:c r="H5" s="174" t="str">
        <x:v>PLACEHOLDER - integration direction</x:v>
      </x:c>
      <x:c r="I5" s="174" t="str">
        <x:v>PLACEHOLDER - key records/data objects</x:v>
      </x:c>
      <x:c r="J5" s="174" t="str">
        <x:v>ai_automation</x:v>
      </x:c>
      <x:c r="K5" s="24" t="str">
        <x:v>Update this row before building the React detail panel.</x:v>
      </x:c>
    </x:row>
    <x:row r="6">
      <x:c r="A6" s="23" t="str">
        <x:v>sales_customer_opportunities</x:v>
      </x:c>
      <x:c r="B6" s="174" t="str">
        <x:v>A</x:v>
      </x:c>
      <x:c r="C6" s="174" t="str">
        <x:v>Sales &amp; Customer Opportunities</x:v>
      </x:c>
      <x:c r="D6" s="174" t="str">
        <x:v>Future/PPS Integration</x:v>
      </x:c>
      <x:c r="E6" s="174" t="str">
        <x:v>PLACEHOLDER - enter software package</x:v>
      </x:c>
      <x:c r="F6" s="174" t="str">
        <x:v>Future / Planned</x:v>
      </x:c>
      <x:c r="G6" s="174" t="str">
        <x:v>PLACEHOLDER - owner</x:v>
      </x:c>
      <x:c r="H6" s="174" t="str">
        <x:v>PLACEHOLDER - integration direction</x:v>
      </x:c>
      <x:c r="I6" s="174" t="str">
        <x:v>PLACEHOLDER - key records/data objects</x:v>
      </x:c>
      <x:c r="J6" s="174" t="str">
        <x:v>future_pps_integration</x:v>
      </x:c>
      <x:c r="K6" s="24" t="str">
        <x:v>Update this row before building the React detail panel.</x:v>
      </x:c>
    </x:row>
    <x:row r="7">
      <x:c r="A7" s="23" t="str">
        <x:v>estimating_quoting</x:v>
      </x:c>
      <x:c r="B7" s="174" t="str">
        <x:v>B</x:v>
      </x:c>
      <x:c r="C7" s="174" t="str">
        <x:v>Estimating &amp; Quoting</x:v>
      </x:c>
      <x:c r="D7" s="174" t="str">
        <x:v>ERP/MRP System</x:v>
      </x:c>
      <x:c r="E7" s="174" t="str">
        <x:v>PLACEHOLDER - enter software package</x:v>
      </x:c>
      <x:c r="F7" s="174" t="str">
        <x:v>Current / Placeholder</x:v>
      </x:c>
      <x:c r="G7" s="174" t="str">
        <x:v>PLACEHOLDER - owner</x:v>
      </x:c>
      <x:c r="H7" s="174" t="str">
        <x:v>PLACEHOLDER - integration direction</x:v>
      </x:c>
      <x:c r="I7" s="174" t="str">
        <x:v>PLACEHOLDER - key records/data objects</x:v>
      </x:c>
      <x:c r="J7" s="174" t="str">
        <x:v>erp_mrp_system</x:v>
      </x:c>
      <x:c r="K7" s="24" t="str">
        <x:v>Update this row before building the React detail panel.</x:v>
      </x:c>
    </x:row>
    <x:row r="8">
      <x:c r="A8" s="23" t="str">
        <x:v>estimating_quoting</x:v>
      </x:c>
      <x:c r="B8" s="174" t="str">
        <x:v>B</x:v>
      </x:c>
      <x:c r="C8" s="174" t="str">
        <x:v>Estimating &amp; Quoting</x:v>
      </x:c>
      <x:c r="D8" s="174" t="str">
        <x:v>Department Software</x:v>
      </x:c>
      <x:c r="E8" s="174" t="str">
        <x:v>PLACEHOLDER - enter software package</x:v>
      </x:c>
      <x:c r="F8" s="174" t="str">
        <x:v>Current / Placeholder</x:v>
      </x:c>
      <x:c r="G8" s="174" t="str">
        <x:v>PLACEHOLDER - owner</x:v>
      </x:c>
      <x:c r="H8" s="174" t="str">
        <x:v>PLACEHOLDER - integration direction</x:v>
      </x:c>
      <x:c r="I8" s="174" t="str">
        <x:v>PLACEHOLDER - key records/data objects</x:v>
      </x:c>
      <x:c r="J8" s="174" t="str">
        <x:v>department_software</x:v>
      </x:c>
      <x:c r="K8" s="24" t="str">
        <x:v>Update this row before building the React detail panel.</x:v>
      </x:c>
    </x:row>
    <x:row r="9">
      <x:c r="A9" s="23" t="str">
        <x:v>estimating_quoting</x:v>
      </x:c>
      <x:c r="B9" s="174" t="str">
        <x:v>B</x:v>
      </x:c>
      <x:c r="C9" s="174" t="str">
        <x:v>Estimating &amp; Quoting</x:v>
      </x:c>
      <x:c r="D9" s="174" t="str">
        <x:v>Spreadsheet/Tracker</x:v>
      </x:c>
      <x:c r="E9" s="174" t="str">
        <x:v>PLACEHOLDER - enter software package</x:v>
      </x:c>
      <x:c r="F9" s="174" t="str">
        <x:v>Current / Placeholder</x:v>
      </x:c>
      <x:c r="G9" s="174" t="str">
        <x:v>PLACEHOLDER - owner</x:v>
      </x:c>
      <x:c r="H9" s="174" t="str">
        <x:v>PLACEHOLDER - integration direction</x:v>
      </x:c>
      <x:c r="I9" s="174" t="str">
        <x:v>PLACEHOLDER - key records/data objects</x:v>
      </x:c>
      <x:c r="J9" s="174" t="str">
        <x:v>spreadsheet_tracker</x:v>
      </x:c>
      <x:c r="K9" s="24" t="str">
        <x:v>Update this row before building the React detail panel.</x:v>
      </x:c>
    </x:row>
    <x:row r="10">
      <x:c r="A10" s="23" t="str">
        <x:v>estimating_quoting</x:v>
      </x:c>
      <x:c r="B10" s="174" t="str">
        <x:v>B</x:v>
      </x:c>
      <x:c r="C10" s="174" t="str">
        <x:v>Estimating &amp; Quoting</x:v>
      </x:c>
      <x:c r="D10" s="174" t="str">
        <x:v>AI/Automation</x:v>
      </x:c>
      <x:c r="E10" s="174" t="str">
        <x:v>PLACEHOLDER - enter software package</x:v>
      </x:c>
      <x:c r="F10" s="174" t="str">
        <x:v>Current / Placeholder</x:v>
      </x:c>
      <x:c r="G10" s="174" t="str">
        <x:v>PLACEHOLDER - owner</x:v>
      </x:c>
      <x:c r="H10" s="174" t="str">
        <x:v>PLACEHOLDER - integration direction</x:v>
      </x:c>
      <x:c r="I10" s="174" t="str">
        <x:v>PLACEHOLDER - key records/data objects</x:v>
      </x:c>
      <x:c r="J10" s="174" t="str">
        <x:v>ai_automation</x:v>
      </x:c>
      <x:c r="K10" s="24" t="str">
        <x:v>Update this row before building the React detail panel.</x:v>
      </x:c>
    </x:row>
    <x:row r="11">
      <x:c r="A11" s="23" t="str">
        <x:v>estimating_quoting</x:v>
      </x:c>
      <x:c r="B11" s="174" t="str">
        <x:v>B</x:v>
      </x:c>
      <x:c r="C11" s="174" t="str">
        <x:v>Estimating &amp; Quoting</x:v>
      </x:c>
      <x:c r="D11" s="174" t="str">
        <x:v>Future/PPS Integration</x:v>
      </x:c>
      <x:c r="E11" s="174" t="str">
        <x:v>PLACEHOLDER - enter software package</x:v>
      </x:c>
      <x:c r="F11" s="174" t="str">
        <x:v>Future / Planned</x:v>
      </x:c>
      <x:c r="G11" s="174" t="str">
        <x:v>PLACEHOLDER - owner</x:v>
      </x:c>
      <x:c r="H11" s="174" t="str">
        <x:v>PLACEHOLDER - integration direction</x:v>
      </x:c>
      <x:c r="I11" s="174" t="str">
        <x:v>PLACEHOLDER - key records/data objects</x:v>
      </x:c>
      <x:c r="J11" s="174" t="str">
        <x:v>future_pps_integration</x:v>
      </x:c>
      <x:c r="K11" s="24" t="str">
        <x:v>Update this row before building the React detail panel.</x:v>
      </x:c>
    </x:row>
    <x:row r="12">
      <x:c r="A12" s="23" t="str">
        <x:v>order_review_processing</x:v>
      </x:c>
      <x:c r="B12" s="174" t="str">
        <x:v>C</x:v>
      </x:c>
      <x:c r="C12" s="174" t="str">
        <x:v>Order Review &amp; Processing</x:v>
      </x:c>
      <x:c r="D12" s="174" t="str">
        <x:v>ERP/MRP System</x:v>
      </x:c>
      <x:c r="E12" s="174" t="str">
        <x:v>PLACEHOLDER - enter software package</x:v>
      </x:c>
      <x:c r="F12" s="174" t="str">
        <x:v>Current / Placeholder</x:v>
      </x:c>
      <x:c r="G12" s="174" t="str">
        <x:v>PLACEHOLDER - owner</x:v>
      </x:c>
      <x:c r="H12" s="174" t="str">
        <x:v>PLACEHOLDER - integration direction</x:v>
      </x:c>
      <x:c r="I12" s="174" t="str">
        <x:v>PLACEHOLDER - key records/data objects</x:v>
      </x:c>
      <x:c r="J12" s="174" t="str">
        <x:v>erp_mrp_system</x:v>
      </x:c>
      <x:c r="K12" s="24" t="str">
        <x:v>Update this row before building the React detail panel.</x:v>
      </x:c>
    </x:row>
    <x:row r="13">
      <x:c r="A13" s="23" t="str">
        <x:v>order_review_processing</x:v>
      </x:c>
      <x:c r="B13" s="174" t="str">
        <x:v>C</x:v>
      </x:c>
      <x:c r="C13" s="174" t="str">
        <x:v>Order Review &amp; Processing</x:v>
      </x:c>
      <x:c r="D13" s="174" t="str">
        <x:v>Department Software</x:v>
      </x:c>
      <x:c r="E13" s="174" t="str">
        <x:v>PLACEHOLDER - enter software package</x:v>
      </x:c>
      <x:c r="F13" s="174" t="str">
        <x:v>Current / Placeholder</x:v>
      </x:c>
      <x:c r="G13" s="174" t="str">
        <x:v>PLACEHOLDER - owner</x:v>
      </x:c>
      <x:c r="H13" s="174" t="str">
        <x:v>PLACEHOLDER - integration direction</x:v>
      </x:c>
      <x:c r="I13" s="174" t="str">
        <x:v>PLACEHOLDER - key records/data objects</x:v>
      </x:c>
      <x:c r="J13" s="174" t="str">
        <x:v>department_software</x:v>
      </x:c>
      <x:c r="K13" s="24" t="str">
        <x:v>Update this row before building the React detail panel.</x:v>
      </x:c>
    </x:row>
    <x:row r="14">
      <x:c r="A14" s="23" t="str">
        <x:v>order_review_processing</x:v>
      </x:c>
      <x:c r="B14" s="174" t="str">
        <x:v>C</x:v>
      </x:c>
      <x:c r="C14" s="174" t="str">
        <x:v>Order Review &amp; Processing</x:v>
      </x:c>
      <x:c r="D14" s="174" t="str">
        <x:v>Spreadsheet/Tracker</x:v>
      </x:c>
      <x:c r="E14" s="174" t="str">
        <x:v>PLACEHOLDER - enter software package</x:v>
      </x:c>
      <x:c r="F14" s="174" t="str">
        <x:v>Current / Placeholder</x:v>
      </x:c>
      <x:c r="G14" s="174" t="str">
        <x:v>PLACEHOLDER - owner</x:v>
      </x:c>
      <x:c r="H14" s="174" t="str">
        <x:v>PLACEHOLDER - integration direction</x:v>
      </x:c>
      <x:c r="I14" s="174" t="str">
        <x:v>PLACEHOLDER - key records/data objects</x:v>
      </x:c>
      <x:c r="J14" s="174" t="str">
        <x:v>spreadsheet_tracker</x:v>
      </x:c>
      <x:c r="K14" s="24" t="str">
        <x:v>Update this row before building the React detail panel.</x:v>
      </x:c>
    </x:row>
    <x:row r="15">
      <x:c r="A15" s="23" t="str">
        <x:v>order_review_processing</x:v>
      </x:c>
      <x:c r="B15" s="174" t="str">
        <x:v>C</x:v>
      </x:c>
      <x:c r="C15" s="174" t="str">
        <x:v>Order Review &amp; Processing</x:v>
      </x:c>
      <x:c r="D15" s="174" t="str">
        <x:v>AI/Automation</x:v>
      </x:c>
      <x:c r="E15" s="174" t="str">
        <x:v>PLACEHOLDER - enter software package</x:v>
      </x:c>
      <x:c r="F15" s="174" t="str">
        <x:v>Current / Placeholder</x:v>
      </x:c>
      <x:c r="G15" s="174" t="str">
        <x:v>PLACEHOLDER - owner</x:v>
      </x:c>
      <x:c r="H15" s="174" t="str">
        <x:v>PLACEHOLDER - integration direction</x:v>
      </x:c>
      <x:c r="I15" s="174" t="str">
        <x:v>PLACEHOLDER - key records/data objects</x:v>
      </x:c>
      <x:c r="J15" s="174" t="str">
        <x:v>ai_automation</x:v>
      </x:c>
      <x:c r="K15" s="24" t="str">
        <x:v>Update this row before building the React detail panel.</x:v>
      </x:c>
    </x:row>
    <x:row r="16">
      <x:c r="A16" s="23" t="str">
        <x:v>order_review_processing</x:v>
      </x:c>
      <x:c r="B16" s="174" t="str">
        <x:v>C</x:v>
      </x:c>
      <x:c r="C16" s="174" t="str">
        <x:v>Order Review &amp; Processing</x:v>
      </x:c>
      <x:c r="D16" s="174" t="str">
        <x:v>Future/PPS Integration</x:v>
      </x:c>
      <x:c r="E16" s="174" t="str">
        <x:v>PLACEHOLDER - enter software package</x:v>
      </x:c>
      <x:c r="F16" s="174" t="str">
        <x:v>Future / Planned</x:v>
      </x:c>
      <x:c r="G16" s="174" t="str">
        <x:v>PLACEHOLDER - owner</x:v>
      </x:c>
      <x:c r="H16" s="174" t="str">
        <x:v>PLACEHOLDER - integration direction</x:v>
      </x:c>
      <x:c r="I16" s="174" t="str">
        <x:v>PLACEHOLDER - key records/data objects</x:v>
      </x:c>
      <x:c r="J16" s="174" t="str">
        <x:v>future_pps_integration</x:v>
      </x:c>
      <x:c r="K16" s="24" t="str">
        <x:v>Update this row before building the React detail panel.</x:v>
      </x:c>
    </x:row>
    <x:row r="17">
      <x:c r="A17" s="23" t="str">
        <x:v>engineering_production_planning</x:v>
      </x:c>
      <x:c r="B17" s="174" t="str">
        <x:v>D</x:v>
      </x:c>
      <x:c r="C17" s="174" t="str">
        <x:v>Engineering &amp; Production Planning</x:v>
      </x:c>
      <x:c r="D17" s="174" t="str">
        <x:v>ERP/MRP System</x:v>
      </x:c>
      <x:c r="E17" s="174" t="str">
        <x:v>PLACEHOLDER - enter software package</x:v>
      </x:c>
      <x:c r="F17" s="174" t="str">
        <x:v>Current / Placeholder</x:v>
      </x:c>
      <x:c r="G17" s="174" t="str">
        <x:v>PLACEHOLDER - owner</x:v>
      </x:c>
      <x:c r="H17" s="174" t="str">
        <x:v>PLACEHOLDER - integration direction</x:v>
      </x:c>
      <x:c r="I17" s="174" t="str">
        <x:v>PLACEHOLDER - key records/data objects</x:v>
      </x:c>
      <x:c r="J17" s="174" t="str">
        <x:v>erp_mrp_system</x:v>
      </x:c>
      <x:c r="K17" s="24" t="str">
        <x:v>Update this row before building the React detail panel.</x:v>
      </x:c>
    </x:row>
    <x:row r="18">
      <x:c r="A18" s="23" t="str">
        <x:v>engineering_production_planning</x:v>
      </x:c>
      <x:c r="B18" s="174" t="str">
        <x:v>D</x:v>
      </x:c>
      <x:c r="C18" s="174" t="str">
        <x:v>Engineering &amp; Production Planning</x:v>
      </x:c>
      <x:c r="D18" s="174" t="str">
        <x:v>Department Software</x:v>
      </x:c>
      <x:c r="E18" s="174" t="str">
        <x:v>PLACEHOLDER - enter software package</x:v>
      </x:c>
      <x:c r="F18" s="174" t="str">
        <x:v>Current / Placeholder</x:v>
      </x:c>
      <x:c r="G18" s="174" t="str">
        <x:v>PLACEHOLDER - owner</x:v>
      </x:c>
      <x:c r="H18" s="174" t="str">
        <x:v>PLACEHOLDER - integration direction</x:v>
      </x:c>
      <x:c r="I18" s="174" t="str">
        <x:v>PLACEHOLDER - key records/data objects</x:v>
      </x:c>
      <x:c r="J18" s="174" t="str">
        <x:v>department_software</x:v>
      </x:c>
      <x:c r="K18" s="24" t="str">
        <x:v>Update this row before building the React detail panel.</x:v>
      </x:c>
    </x:row>
    <x:row r="19">
      <x:c r="A19" s="23" t="str">
        <x:v>engineering_production_planning</x:v>
      </x:c>
      <x:c r="B19" s="174" t="str">
        <x:v>D</x:v>
      </x:c>
      <x:c r="C19" s="174" t="str">
        <x:v>Engineering &amp; Production Planning</x:v>
      </x:c>
      <x:c r="D19" s="174" t="str">
        <x:v>Spreadsheet/Tracker</x:v>
      </x:c>
      <x:c r="E19" s="174" t="str">
        <x:v>PLACEHOLDER - enter software package</x:v>
      </x:c>
      <x:c r="F19" s="174" t="str">
        <x:v>Current / Placeholder</x:v>
      </x:c>
      <x:c r="G19" s="174" t="str">
        <x:v>PLACEHOLDER - owner</x:v>
      </x:c>
      <x:c r="H19" s="174" t="str">
        <x:v>PLACEHOLDER - integration direction</x:v>
      </x:c>
      <x:c r="I19" s="174" t="str">
        <x:v>PLACEHOLDER - key records/data objects</x:v>
      </x:c>
      <x:c r="J19" s="174" t="str">
        <x:v>spreadsheet_tracker</x:v>
      </x:c>
      <x:c r="K19" s="24" t="str">
        <x:v>Update this row before building the React detail panel.</x:v>
      </x:c>
    </x:row>
    <x:row r="20">
      <x:c r="A20" s="23" t="str">
        <x:v>engineering_production_planning</x:v>
      </x:c>
      <x:c r="B20" s="174" t="str">
        <x:v>D</x:v>
      </x:c>
      <x:c r="C20" s="174" t="str">
        <x:v>Engineering &amp; Production Planning</x:v>
      </x:c>
      <x:c r="D20" s="174" t="str">
        <x:v>AI/Automation</x:v>
      </x:c>
      <x:c r="E20" s="174" t="str">
        <x:v>PLACEHOLDER - enter software package</x:v>
      </x:c>
      <x:c r="F20" s="174" t="str">
        <x:v>Current / Placeholder</x:v>
      </x:c>
      <x:c r="G20" s="174" t="str">
        <x:v>PLACEHOLDER - owner</x:v>
      </x:c>
      <x:c r="H20" s="174" t="str">
        <x:v>PLACEHOLDER - integration direction</x:v>
      </x:c>
      <x:c r="I20" s="174" t="str">
        <x:v>PLACEHOLDER - key records/data objects</x:v>
      </x:c>
      <x:c r="J20" s="174" t="str">
        <x:v>ai_automation</x:v>
      </x:c>
      <x:c r="K20" s="24" t="str">
        <x:v>Update this row before building the React detail panel.</x:v>
      </x:c>
    </x:row>
    <x:row r="21">
      <x:c r="A21" s="23" t="str">
        <x:v>engineering_production_planning</x:v>
      </x:c>
      <x:c r="B21" s="174" t="str">
        <x:v>D</x:v>
      </x:c>
      <x:c r="C21" s="174" t="str">
        <x:v>Engineering &amp; Production Planning</x:v>
      </x:c>
      <x:c r="D21" s="174" t="str">
        <x:v>Future/PPS Integration</x:v>
      </x:c>
      <x:c r="E21" s="174" t="str">
        <x:v>PLACEHOLDER - enter software package</x:v>
      </x:c>
      <x:c r="F21" s="174" t="str">
        <x:v>Future / Planned</x:v>
      </x:c>
      <x:c r="G21" s="174" t="str">
        <x:v>PLACEHOLDER - owner</x:v>
      </x:c>
      <x:c r="H21" s="174" t="str">
        <x:v>PLACEHOLDER - integration direction</x:v>
      </x:c>
      <x:c r="I21" s="174" t="str">
        <x:v>PLACEHOLDER - key records/data objects</x:v>
      </x:c>
      <x:c r="J21" s="174" t="str">
        <x:v>future_pps_integration</x:v>
      </x:c>
      <x:c r="K21" s="24" t="str">
        <x:v>Update this row before building the React detail panel.</x:v>
      </x:c>
    </x:row>
    <x:row r="22">
      <x:c r="A22" s="23" t="str">
        <x:v>purchasing_supplier_management</x:v>
      </x:c>
      <x:c r="B22" s="174" t="str">
        <x:v>E</x:v>
      </x:c>
      <x:c r="C22" s="174" t="str">
        <x:v>Purchasing &amp; Supplier Management</x:v>
      </x:c>
      <x:c r="D22" s="174" t="str">
        <x:v>ERP/MRP System</x:v>
      </x:c>
      <x:c r="E22" s="174" t="str">
        <x:v>PLACEHOLDER - enter software package</x:v>
      </x:c>
      <x:c r="F22" s="174" t="str">
        <x:v>Current / Placeholder</x:v>
      </x:c>
      <x:c r="G22" s="174" t="str">
        <x:v>PLACEHOLDER - owner</x:v>
      </x:c>
      <x:c r="H22" s="174" t="str">
        <x:v>PLACEHOLDER - integration direction</x:v>
      </x:c>
      <x:c r="I22" s="174" t="str">
        <x:v>PLACEHOLDER - key records/data objects</x:v>
      </x:c>
      <x:c r="J22" s="174" t="str">
        <x:v>erp_mrp_system</x:v>
      </x:c>
      <x:c r="K22" s="24" t="str">
        <x:v>Update this row before building the React detail panel.</x:v>
      </x:c>
    </x:row>
    <x:row r="23">
      <x:c r="A23" s="23" t="str">
        <x:v>purchasing_supplier_management</x:v>
      </x:c>
      <x:c r="B23" s="174" t="str">
        <x:v>E</x:v>
      </x:c>
      <x:c r="C23" s="174" t="str">
        <x:v>Purchasing &amp; Supplier Management</x:v>
      </x:c>
      <x:c r="D23" s="174" t="str">
        <x:v>Department Software</x:v>
      </x:c>
      <x:c r="E23" s="174" t="str">
        <x:v>PLACEHOLDER - enter software package</x:v>
      </x:c>
      <x:c r="F23" s="174" t="str">
        <x:v>Current / Placeholder</x:v>
      </x:c>
      <x:c r="G23" s="174" t="str">
        <x:v>PLACEHOLDER - owner</x:v>
      </x:c>
      <x:c r="H23" s="174" t="str">
        <x:v>PLACEHOLDER - integration direction</x:v>
      </x:c>
      <x:c r="I23" s="174" t="str">
        <x:v>PLACEHOLDER - key records/data objects</x:v>
      </x:c>
      <x:c r="J23" s="174" t="str">
        <x:v>department_software</x:v>
      </x:c>
      <x:c r="K23" s="24" t="str">
        <x:v>Update this row before building the React detail panel.</x:v>
      </x:c>
    </x:row>
    <x:row r="24">
      <x:c r="A24" s="23" t="str">
        <x:v>purchasing_supplier_management</x:v>
      </x:c>
      <x:c r="B24" s="174" t="str">
        <x:v>E</x:v>
      </x:c>
      <x:c r="C24" s="174" t="str">
        <x:v>Purchasing &amp; Supplier Management</x:v>
      </x:c>
      <x:c r="D24" s="174" t="str">
        <x:v>Spreadsheet/Tracker</x:v>
      </x:c>
      <x:c r="E24" s="174" t="str">
        <x:v>PLACEHOLDER - enter software package</x:v>
      </x:c>
      <x:c r="F24" s="174" t="str">
        <x:v>Current / Placeholder</x:v>
      </x:c>
      <x:c r="G24" s="174" t="str">
        <x:v>PLACEHOLDER - owner</x:v>
      </x:c>
      <x:c r="H24" s="174" t="str">
        <x:v>PLACEHOLDER - integration direction</x:v>
      </x:c>
      <x:c r="I24" s="174" t="str">
        <x:v>PLACEHOLDER - key records/data objects</x:v>
      </x:c>
      <x:c r="J24" s="174" t="str">
        <x:v>spreadsheet_tracker</x:v>
      </x:c>
      <x:c r="K24" s="24" t="str">
        <x:v>Update this row before building the React detail panel.</x:v>
      </x:c>
    </x:row>
    <x:row r="25">
      <x:c r="A25" s="23" t="str">
        <x:v>purchasing_supplier_management</x:v>
      </x:c>
      <x:c r="B25" s="174" t="str">
        <x:v>E</x:v>
      </x:c>
      <x:c r="C25" s="174" t="str">
        <x:v>Purchasing &amp; Supplier Management</x:v>
      </x:c>
      <x:c r="D25" s="174" t="str">
        <x:v>AI/Automation</x:v>
      </x:c>
      <x:c r="E25" s="174" t="str">
        <x:v>PLACEHOLDER - enter software package</x:v>
      </x:c>
      <x:c r="F25" s="174" t="str">
        <x:v>Current / Placeholder</x:v>
      </x:c>
      <x:c r="G25" s="174" t="str">
        <x:v>PLACEHOLDER - owner</x:v>
      </x:c>
      <x:c r="H25" s="174" t="str">
        <x:v>PLACEHOLDER - integration direction</x:v>
      </x:c>
      <x:c r="I25" s="174" t="str">
        <x:v>PLACEHOLDER - key records/data objects</x:v>
      </x:c>
      <x:c r="J25" s="174" t="str">
        <x:v>ai_automation</x:v>
      </x:c>
      <x:c r="K25" s="24" t="str">
        <x:v>Update this row before building the React detail panel.</x:v>
      </x:c>
    </x:row>
    <x:row r="26">
      <x:c r="A26" s="23" t="str">
        <x:v>purchasing_supplier_management</x:v>
      </x:c>
      <x:c r="B26" s="174" t="str">
        <x:v>E</x:v>
      </x:c>
      <x:c r="C26" s="174" t="str">
        <x:v>Purchasing &amp; Supplier Management</x:v>
      </x:c>
      <x:c r="D26" s="174" t="str">
        <x:v>Future/PPS Integration</x:v>
      </x:c>
      <x:c r="E26" s="174" t="str">
        <x:v>PLACEHOLDER - enter software package</x:v>
      </x:c>
      <x:c r="F26" s="174" t="str">
        <x:v>Future / Planned</x:v>
      </x:c>
      <x:c r="G26" s="174" t="str">
        <x:v>PLACEHOLDER - owner</x:v>
      </x:c>
      <x:c r="H26" s="174" t="str">
        <x:v>PLACEHOLDER - integration direction</x:v>
      </x:c>
      <x:c r="I26" s="174" t="str">
        <x:v>PLACEHOLDER - key records/data objects</x:v>
      </x:c>
      <x:c r="J26" s="174" t="str">
        <x:v>future_pps_integration</x:v>
      </x:c>
      <x:c r="K26" s="24" t="str">
        <x:v>Update this row before building the React detail panel.</x:v>
      </x:c>
    </x:row>
    <x:row r="27">
      <x:c r="A27" s="23" t="str">
        <x:v>receiving_material_control</x:v>
      </x:c>
      <x:c r="B27" s="174" t="str">
        <x:v>F</x:v>
      </x:c>
      <x:c r="C27" s="174" t="str">
        <x:v>Receiving &amp; Material Control</x:v>
      </x:c>
      <x:c r="D27" s="174" t="str">
        <x:v>ERP/MRP System</x:v>
      </x:c>
      <x:c r="E27" s="174" t="str">
        <x:v>PLACEHOLDER - enter software package</x:v>
      </x:c>
      <x:c r="F27" s="174" t="str">
        <x:v>Current / Placeholder</x:v>
      </x:c>
      <x:c r="G27" s="174" t="str">
        <x:v>PLACEHOLDER - owner</x:v>
      </x:c>
      <x:c r="H27" s="174" t="str">
        <x:v>PLACEHOLDER - integration direction</x:v>
      </x:c>
      <x:c r="I27" s="174" t="str">
        <x:v>PLACEHOLDER - key records/data objects</x:v>
      </x:c>
      <x:c r="J27" s="174" t="str">
        <x:v>erp_mrp_system</x:v>
      </x:c>
      <x:c r="K27" s="24" t="str">
        <x:v>Update this row before building the React detail panel.</x:v>
      </x:c>
    </x:row>
    <x:row r="28">
      <x:c r="A28" s="23" t="str">
        <x:v>receiving_material_control</x:v>
      </x:c>
      <x:c r="B28" s="174" t="str">
        <x:v>F</x:v>
      </x:c>
      <x:c r="C28" s="174" t="str">
        <x:v>Receiving &amp; Material Control</x:v>
      </x:c>
      <x:c r="D28" s="174" t="str">
        <x:v>Department Software</x:v>
      </x:c>
      <x:c r="E28" s="174" t="str">
        <x:v>PLACEHOLDER - enter software package</x:v>
      </x:c>
      <x:c r="F28" s="174" t="str">
        <x:v>Current / Placeholder</x:v>
      </x:c>
      <x:c r="G28" s="174" t="str">
        <x:v>PLACEHOLDER - owner</x:v>
      </x:c>
      <x:c r="H28" s="174" t="str">
        <x:v>PLACEHOLDER - integration direction</x:v>
      </x:c>
      <x:c r="I28" s="174" t="str">
        <x:v>PLACEHOLDER - key records/data objects</x:v>
      </x:c>
      <x:c r="J28" s="174" t="str">
        <x:v>department_software</x:v>
      </x:c>
      <x:c r="K28" s="24" t="str">
        <x:v>Update this row before building the React detail panel.</x:v>
      </x:c>
    </x:row>
    <x:row r="29">
      <x:c r="A29" s="23" t="str">
        <x:v>receiving_material_control</x:v>
      </x:c>
      <x:c r="B29" s="174" t="str">
        <x:v>F</x:v>
      </x:c>
      <x:c r="C29" s="174" t="str">
        <x:v>Receiving &amp; Material Control</x:v>
      </x:c>
      <x:c r="D29" s="174" t="str">
        <x:v>Spreadsheet/Tracker</x:v>
      </x:c>
      <x:c r="E29" s="174" t="str">
        <x:v>PLACEHOLDER - enter software package</x:v>
      </x:c>
      <x:c r="F29" s="174" t="str">
        <x:v>Current / Placeholder</x:v>
      </x:c>
      <x:c r="G29" s="174" t="str">
        <x:v>PLACEHOLDER - owner</x:v>
      </x:c>
      <x:c r="H29" s="174" t="str">
        <x:v>PLACEHOLDER - integration direction</x:v>
      </x:c>
      <x:c r="I29" s="174" t="str">
        <x:v>PLACEHOLDER - key records/data objects</x:v>
      </x:c>
      <x:c r="J29" s="174" t="str">
        <x:v>spreadsheet_tracker</x:v>
      </x:c>
      <x:c r="K29" s="24" t="str">
        <x:v>Update this row before building the React detail panel.</x:v>
      </x:c>
    </x:row>
    <x:row r="30">
      <x:c r="A30" s="23" t="str">
        <x:v>receiving_material_control</x:v>
      </x:c>
      <x:c r="B30" s="174" t="str">
        <x:v>F</x:v>
      </x:c>
      <x:c r="C30" s="174" t="str">
        <x:v>Receiving &amp; Material Control</x:v>
      </x:c>
      <x:c r="D30" s="174" t="str">
        <x:v>AI/Automation</x:v>
      </x:c>
      <x:c r="E30" s="174" t="str">
        <x:v>PLACEHOLDER - enter software package</x:v>
      </x:c>
      <x:c r="F30" s="174" t="str">
        <x:v>Current / Placeholder</x:v>
      </x:c>
      <x:c r="G30" s="174" t="str">
        <x:v>PLACEHOLDER - owner</x:v>
      </x:c>
      <x:c r="H30" s="174" t="str">
        <x:v>PLACEHOLDER - integration direction</x:v>
      </x:c>
      <x:c r="I30" s="174" t="str">
        <x:v>PLACEHOLDER - key records/data objects</x:v>
      </x:c>
      <x:c r="J30" s="174" t="str">
        <x:v>ai_automation</x:v>
      </x:c>
      <x:c r="K30" s="24" t="str">
        <x:v>Update this row before building the React detail panel.</x:v>
      </x:c>
    </x:row>
    <x:row r="31">
      <x:c r="A31" s="23" t="str">
        <x:v>receiving_material_control</x:v>
      </x:c>
      <x:c r="B31" s="174" t="str">
        <x:v>F</x:v>
      </x:c>
      <x:c r="C31" s="174" t="str">
        <x:v>Receiving &amp; Material Control</x:v>
      </x:c>
      <x:c r="D31" s="174" t="str">
        <x:v>Future/PPS Integration</x:v>
      </x:c>
      <x:c r="E31" s="174" t="str">
        <x:v>PLACEHOLDER - enter software package</x:v>
      </x:c>
      <x:c r="F31" s="174" t="str">
        <x:v>Future / Planned</x:v>
      </x:c>
      <x:c r="G31" s="174" t="str">
        <x:v>PLACEHOLDER - owner</x:v>
      </x:c>
      <x:c r="H31" s="174" t="str">
        <x:v>PLACEHOLDER - integration direction</x:v>
      </x:c>
      <x:c r="I31" s="174" t="str">
        <x:v>PLACEHOLDER - key records/data objects</x:v>
      </x:c>
      <x:c r="J31" s="174" t="str">
        <x:v>future_pps_integration</x:v>
      </x:c>
      <x:c r="K31" s="24" t="str">
        <x:v>Update this row before building the React detail panel.</x:v>
      </x:c>
    </x:row>
    <x:row r="32">
      <x:c r="A32" s="23" t="str">
        <x:v>project_management</x:v>
      </x:c>
      <x:c r="B32" s="174" t="str">
        <x:v>G</x:v>
      </x:c>
      <x:c r="C32" s="174" t="str">
        <x:v>Project Management</x:v>
      </x:c>
      <x:c r="D32" s="174" t="str">
        <x:v>ERP/MRP System</x:v>
      </x:c>
      <x:c r="E32" s="174" t="str">
        <x:v>PLACEHOLDER - enter software package</x:v>
      </x:c>
      <x:c r="F32" s="174" t="str">
        <x:v>Current / Placeholder</x:v>
      </x:c>
      <x:c r="G32" s="174" t="str">
        <x:v>PLACEHOLDER - owner</x:v>
      </x:c>
      <x:c r="H32" s="174" t="str">
        <x:v>PLACEHOLDER - integration direction</x:v>
      </x:c>
      <x:c r="I32" s="174" t="str">
        <x:v>PLACEHOLDER - key records/data objects</x:v>
      </x:c>
      <x:c r="J32" s="174" t="str">
        <x:v>erp_mrp_system</x:v>
      </x:c>
      <x:c r="K32" s="24" t="str">
        <x:v>Update this row before building the React detail panel.</x:v>
      </x:c>
    </x:row>
    <x:row r="33">
      <x:c r="A33" s="23" t="str">
        <x:v>project_management</x:v>
      </x:c>
      <x:c r="B33" s="174" t="str">
        <x:v>G</x:v>
      </x:c>
      <x:c r="C33" s="174" t="str">
        <x:v>Project Management</x:v>
      </x:c>
      <x:c r="D33" s="174" t="str">
        <x:v>Department Software</x:v>
      </x:c>
      <x:c r="E33" s="174" t="str">
        <x:v>PLACEHOLDER - enter software package</x:v>
      </x:c>
      <x:c r="F33" s="174" t="str">
        <x:v>Current / Placeholder</x:v>
      </x:c>
      <x:c r="G33" s="174" t="str">
        <x:v>PLACEHOLDER - owner</x:v>
      </x:c>
      <x:c r="H33" s="174" t="str">
        <x:v>PLACEHOLDER - integration direction</x:v>
      </x:c>
      <x:c r="I33" s="174" t="str">
        <x:v>PLACEHOLDER - key records/data objects</x:v>
      </x:c>
      <x:c r="J33" s="174" t="str">
        <x:v>department_software</x:v>
      </x:c>
      <x:c r="K33" s="24" t="str">
        <x:v>Update this row before building the React detail panel.</x:v>
      </x:c>
    </x:row>
    <x:row r="34">
      <x:c r="A34" s="23" t="str">
        <x:v>project_management</x:v>
      </x:c>
      <x:c r="B34" s="174" t="str">
        <x:v>G</x:v>
      </x:c>
      <x:c r="C34" s="174" t="str">
        <x:v>Project Management</x:v>
      </x:c>
      <x:c r="D34" s="174" t="str">
        <x:v>Spreadsheet/Tracker</x:v>
      </x:c>
      <x:c r="E34" s="174" t="str">
        <x:v>PLACEHOLDER - enter software package</x:v>
      </x:c>
      <x:c r="F34" s="174" t="str">
        <x:v>Current / Placeholder</x:v>
      </x:c>
      <x:c r="G34" s="174" t="str">
        <x:v>PLACEHOLDER - owner</x:v>
      </x:c>
      <x:c r="H34" s="174" t="str">
        <x:v>PLACEHOLDER - integration direction</x:v>
      </x:c>
      <x:c r="I34" s="174" t="str">
        <x:v>PLACEHOLDER - key records/data objects</x:v>
      </x:c>
      <x:c r="J34" s="174" t="str">
        <x:v>spreadsheet_tracker</x:v>
      </x:c>
      <x:c r="K34" s="24" t="str">
        <x:v>Update this row before building the React detail panel.</x:v>
      </x:c>
    </x:row>
    <x:row r="35">
      <x:c r="A35" s="23" t="str">
        <x:v>project_management</x:v>
      </x:c>
      <x:c r="B35" s="174" t="str">
        <x:v>G</x:v>
      </x:c>
      <x:c r="C35" s="174" t="str">
        <x:v>Project Management</x:v>
      </x:c>
      <x:c r="D35" s="174" t="str">
        <x:v>AI/Automation</x:v>
      </x:c>
      <x:c r="E35" s="174" t="str">
        <x:v>PLACEHOLDER - enter software package</x:v>
      </x:c>
      <x:c r="F35" s="174" t="str">
        <x:v>Current / Placeholder</x:v>
      </x:c>
      <x:c r="G35" s="174" t="str">
        <x:v>PLACEHOLDER - owner</x:v>
      </x:c>
      <x:c r="H35" s="174" t="str">
        <x:v>PLACEHOLDER - integration direction</x:v>
      </x:c>
      <x:c r="I35" s="174" t="str">
        <x:v>PLACEHOLDER - key records/data objects</x:v>
      </x:c>
      <x:c r="J35" s="174" t="str">
        <x:v>ai_automation</x:v>
      </x:c>
      <x:c r="K35" s="24" t="str">
        <x:v>Update this row before building the React detail panel.</x:v>
      </x:c>
    </x:row>
    <x:row r="36">
      <x:c r="A36" s="23" t="str">
        <x:v>project_management</x:v>
      </x:c>
      <x:c r="B36" s="174" t="str">
        <x:v>G</x:v>
      </x:c>
      <x:c r="C36" s="174" t="str">
        <x:v>Project Management</x:v>
      </x:c>
      <x:c r="D36" s="174" t="str">
        <x:v>Future/PPS Integration</x:v>
      </x:c>
      <x:c r="E36" s="174" t="str">
        <x:v>PLACEHOLDER - enter software package</x:v>
      </x:c>
      <x:c r="F36" s="174" t="str">
        <x:v>Future / Planned</x:v>
      </x:c>
      <x:c r="G36" s="174" t="str">
        <x:v>PLACEHOLDER - owner</x:v>
      </x:c>
      <x:c r="H36" s="174" t="str">
        <x:v>PLACEHOLDER - integration direction</x:v>
      </x:c>
      <x:c r="I36" s="174" t="str">
        <x:v>PLACEHOLDER - key records/data objects</x:v>
      </x:c>
      <x:c r="J36" s="174" t="str">
        <x:v>future_pps_integration</x:v>
      </x:c>
      <x:c r="K36" s="24" t="str">
        <x:v>Update this row before building the React detail panel.</x:v>
      </x:c>
    </x:row>
    <x:row r="37">
      <x:c r="A37" s="23" t="str">
        <x:v>laser_waterjet</x:v>
      </x:c>
      <x:c r="B37" s="174" t="str">
        <x:v>H</x:v>
      </x:c>
      <x:c r="C37" s="174" t="str">
        <x:v>Laser &amp; Waterjet</x:v>
      </x:c>
      <x:c r="D37" s="174" t="str">
        <x:v>ERP/MRP System</x:v>
      </x:c>
      <x:c r="E37" s="174" t="str">
        <x:v>PLACEHOLDER - enter software package</x:v>
      </x:c>
      <x:c r="F37" s="174" t="str">
        <x:v>Current / Placeholder</x:v>
      </x:c>
      <x:c r="G37" s="174" t="str">
        <x:v>PLACEHOLDER - owner</x:v>
      </x:c>
      <x:c r="H37" s="174" t="str">
        <x:v>PLACEHOLDER - integration direction</x:v>
      </x:c>
      <x:c r="I37" s="174" t="str">
        <x:v>PLACEHOLDER - key records/data objects</x:v>
      </x:c>
      <x:c r="J37" s="174" t="str">
        <x:v>erp_mrp_system</x:v>
      </x:c>
      <x:c r="K37" s="24" t="str">
        <x:v>Update this row before building the React detail panel.</x:v>
      </x:c>
    </x:row>
    <x:row r="38">
      <x:c r="A38" s="23" t="str">
        <x:v>laser_waterjet</x:v>
      </x:c>
      <x:c r="B38" s="174" t="str">
        <x:v>H</x:v>
      </x:c>
      <x:c r="C38" s="174" t="str">
        <x:v>Laser &amp; Waterjet</x:v>
      </x:c>
      <x:c r="D38" s="174" t="str">
        <x:v>Department Software</x:v>
      </x:c>
      <x:c r="E38" s="174" t="str">
        <x:v>PLACEHOLDER - enter software package</x:v>
      </x:c>
      <x:c r="F38" s="174" t="str">
        <x:v>Current / Placeholder</x:v>
      </x:c>
      <x:c r="G38" s="174" t="str">
        <x:v>PLACEHOLDER - owner</x:v>
      </x:c>
      <x:c r="H38" s="174" t="str">
        <x:v>PLACEHOLDER - integration direction</x:v>
      </x:c>
      <x:c r="I38" s="174" t="str">
        <x:v>PLACEHOLDER - key records/data objects</x:v>
      </x:c>
      <x:c r="J38" s="174" t="str">
        <x:v>department_software</x:v>
      </x:c>
      <x:c r="K38" s="24" t="str">
        <x:v>Update this row before building the React detail panel.</x:v>
      </x:c>
    </x:row>
    <x:row r="39">
      <x:c r="A39" s="23" t="str">
        <x:v>laser_waterjet</x:v>
      </x:c>
      <x:c r="B39" s="174" t="str">
        <x:v>H</x:v>
      </x:c>
      <x:c r="C39" s="174" t="str">
        <x:v>Laser &amp; Waterjet</x:v>
      </x:c>
      <x:c r="D39" s="174" t="str">
        <x:v>Spreadsheet/Tracker</x:v>
      </x:c>
      <x:c r="E39" s="174" t="str">
        <x:v>PLACEHOLDER - enter software package</x:v>
      </x:c>
      <x:c r="F39" s="174" t="str">
        <x:v>Current / Placeholder</x:v>
      </x:c>
      <x:c r="G39" s="174" t="str">
        <x:v>PLACEHOLDER - owner</x:v>
      </x:c>
      <x:c r="H39" s="174" t="str">
        <x:v>PLACEHOLDER - integration direction</x:v>
      </x:c>
      <x:c r="I39" s="174" t="str">
        <x:v>PLACEHOLDER - key records/data objects</x:v>
      </x:c>
      <x:c r="J39" s="174" t="str">
        <x:v>spreadsheet_tracker</x:v>
      </x:c>
      <x:c r="K39" s="24" t="str">
        <x:v>Update this row before building the React detail panel.</x:v>
      </x:c>
    </x:row>
    <x:row r="40">
      <x:c r="A40" s="23" t="str">
        <x:v>laser_waterjet</x:v>
      </x:c>
      <x:c r="B40" s="174" t="str">
        <x:v>H</x:v>
      </x:c>
      <x:c r="C40" s="174" t="str">
        <x:v>Laser &amp; Waterjet</x:v>
      </x:c>
      <x:c r="D40" s="174" t="str">
        <x:v>AI/Automation</x:v>
      </x:c>
      <x:c r="E40" s="174" t="str">
        <x:v>PLACEHOLDER - enter software package</x:v>
      </x:c>
      <x:c r="F40" s="174" t="str">
        <x:v>Current / Placeholder</x:v>
      </x:c>
      <x:c r="G40" s="174" t="str">
        <x:v>PLACEHOLDER - owner</x:v>
      </x:c>
      <x:c r="H40" s="174" t="str">
        <x:v>PLACEHOLDER - integration direction</x:v>
      </x:c>
      <x:c r="I40" s="174" t="str">
        <x:v>PLACEHOLDER - key records/data objects</x:v>
      </x:c>
      <x:c r="J40" s="174" t="str">
        <x:v>ai_automation</x:v>
      </x:c>
      <x:c r="K40" s="24" t="str">
        <x:v>Update this row before building the React detail panel.</x:v>
      </x:c>
    </x:row>
    <x:row r="41">
      <x:c r="A41" s="23" t="str">
        <x:v>laser_waterjet</x:v>
      </x:c>
      <x:c r="B41" s="174" t="str">
        <x:v>H</x:v>
      </x:c>
      <x:c r="C41" s="174" t="str">
        <x:v>Laser &amp; Waterjet</x:v>
      </x:c>
      <x:c r="D41" s="174" t="str">
        <x:v>Future/PPS Integration</x:v>
      </x:c>
      <x:c r="E41" s="174" t="str">
        <x:v>PLACEHOLDER - enter software package</x:v>
      </x:c>
      <x:c r="F41" s="174" t="str">
        <x:v>Future / Planned</x:v>
      </x:c>
      <x:c r="G41" s="174" t="str">
        <x:v>PLACEHOLDER - owner</x:v>
      </x:c>
      <x:c r="H41" s="174" t="str">
        <x:v>PLACEHOLDER - integration direction</x:v>
      </x:c>
      <x:c r="I41" s="174" t="str">
        <x:v>PLACEHOLDER - key records/data objects</x:v>
      </x:c>
      <x:c r="J41" s="174" t="str">
        <x:v>future_pps_integration</x:v>
      </x:c>
      <x:c r="K41" s="24" t="str">
        <x:v>Update this row before building the React detail panel.</x:v>
      </x:c>
    </x:row>
    <x:row r="42">
      <x:c r="A42" s="23" t="str">
        <x:v>bending</x:v>
      </x:c>
      <x:c r="B42" s="174" t="str">
        <x:v>I</x:v>
      </x:c>
      <x:c r="C42" s="174" t="str">
        <x:v>Bending</x:v>
      </x:c>
      <x:c r="D42" s="174" t="str">
        <x:v>ERP/MRP System</x:v>
      </x:c>
      <x:c r="E42" s="174" t="str">
        <x:v>PLACEHOLDER - enter software package</x:v>
      </x:c>
      <x:c r="F42" s="174" t="str">
        <x:v>Current / Placeholder</x:v>
      </x:c>
      <x:c r="G42" s="174" t="str">
        <x:v>PLACEHOLDER - owner</x:v>
      </x:c>
      <x:c r="H42" s="174" t="str">
        <x:v>PLACEHOLDER - integration direction</x:v>
      </x:c>
      <x:c r="I42" s="174" t="str">
        <x:v>PLACEHOLDER - key records/data objects</x:v>
      </x:c>
      <x:c r="J42" s="174" t="str">
        <x:v>erp_mrp_system</x:v>
      </x:c>
      <x:c r="K42" s="24" t="str">
        <x:v>Update this row before building the React detail panel.</x:v>
      </x:c>
    </x:row>
    <x:row r="43">
      <x:c r="A43" s="23" t="str">
        <x:v>bending</x:v>
      </x:c>
      <x:c r="B43" s="174" t="str">
        <x:v>I</x:v>
      </x:c>
      <x:c r="C43" s="174" t="str">
        <x:v>Bending</x:v>
      </x:c>
      <x:c r="D43" s="174" t="str">
        <x:v>Department Software</x:v>
      </x:c>
      <x:c r="E43" s="174" t="str">
        <x:v>PLACEHOLDER - enter software package</x:v>
      </x:c>
      <x:c r="F43" s="174" t="str">
        <x:v>Current / Placeholder</x:v>
      </x:c>
      <x:c r="G43" s="174" t="str">
        <x:v>PLACEHOLDER - owner</x:v>
      </x:c>
      <x:c r="H43" s="174" t="str">
        <x:v>PLACEHOLDER - integration direction</x:v>
      </x:c>
      <x:c r="I43" s="174" t="str">
        <x:v>PLACEHOLDER - key records/data objects</x:v>
      </x:c>
      <x:c r="J43" s="174" t="str">
        <x:v>department_software</x:v>
      </x:c>
      <x:c r="K43" s="24" t="str">
        <x:v>Update this row before building the React detail panel.</x:v>
      </x:c>
    </x:row>
    <x:row r="44">
      <x:c r="A44" s="23" t="str">
        <x:v>bending</x:v>
      </x:c>
      <x:c r="B44" s="174" t="str">
        <x:v>I</x:v>
      </x:c>
      <x:c r="C44" s="174" t="str">
        <x:v>Bending</x:v>
      </x:c>
      <x:c r="D44" s="174" t="str">
        <x:v>Spreadsheet/Tracker</x:v>
      </x:c>
      <x:c r="E44" s="174" t="str">
        <x:v>PLACEHOLDER - enter software package</x:v>
      </x:c>
      <x:c r="F44" s="174" t="str">
        <x:v>Current / Placeholder</x:v>
      </x:c>
      <x:c r="G44" s="174" t="str">
        <x:v>PLACEHOLDER - owner</x:v>
      </x:c>
      <x:c r="H44" s="174" t="str">
        <x:v>PLACEHOLDER - integration direction</x:v>
      </x:c>
      <x:c r="I44" s="174" t="str">
        <x:v>PLACEHOLDER - key records/data objects</x:v>
      </x:c>
      <x:c r="J44" s="174" t="str">
        <x:v>spreadsheet_tracker</x:v>
      </x:c>
      <x:c r="K44" s="24" t="str">
        <x:v>Update this row before building the React detail panel.</x:v>
      </x:c>
    </x:row>
    <x:row r="45">
      <x:c r="A45" s="23" t="str">
        <x:v>bending</x:v>
      </x:c>
      <x:c r="B45" s="174" t="str">
        <x:v>I</x:v>
      </x:c>
      <x:c r="C45" s="174" t="str">
        <x:v>Bending</x:v>
      </x:c>
      <x:c r="D45" s="174" t="str">
        <x:v>AI/Automation</x:v>
      </x:c>
      <x:c r="E45" s="174" t="str">
        <x:v>PLACEHOLDER - enter software package</x:v>
      </x:c>
      <x:c r="F45" s="174" t="str">
        <x:v>Current / Placeholder</x:v>
      </x:c>
      <x:c r="G45" s="174" t="str">
        <x:v>PLACEHOLDER - owner</x:v>
      </x:c>
      <x:c r="H45" s="174" t="str">
        <x:v>PLACEHOLDER - integration direction</x:v>
      </x:c>
      <x:c r="I45" s="174" t="str">
        <x:v>PLACEHOLDER - key records/data objects</x:v>
      </x:c>
      <x:c r="J45" s="174" t="str">
        <x:v>ai_automation</x:v>
      </x:c>
      <x:c r="K45" s="24" t="str">
        <x:v>Update this row before building the React detail panel.</x:v>
      </x:c>
    </x:row>
    <x:row r="46">
      <x:c r="A46" s="23" t="str">
        <x:v>bending</x:v>
      </x:c>
      <x:c r="B46" s="174" t="str">
        <x:v>I</x:v>
      </x:c>
      <x:c r="C46" s="174" t="str">
        <x:v>Bending</x:v>
      </x:c>
      <x:c r="D46" s="174" t="str">
        <x:v>Future/PPS Integration</x:v>
      </x:c>
      <x:c r="E46" s="174" t="str">
        <x:v>PLACEHOLDER - enter software package</x:v>
      </x:c>
      <x:c r="F46" s="174" t="str">
        <x:v>Future / Planned</x:v>
      </x:c>
      <x:c r="G46" s="174" t="str">
        <x:v>PLACEHOLDER - owner</x:v>
      </x:c>
      <x:c r="H46" s="174" t="str">
        <x:v>PLACEHOLDER - integration direction</x:v>
      </x:c>
      <x:c r="I46" s="174" t="str">
        <x:v>PLACEHOLDER - key records/data objects</x:v>
      </x:c>
      <x:c r="J46" s="174" t="str">
        <x:v>future_pps_integration</x:v>
      </x:c>
      <x:c r="K46" s="24" t="str">
        <x:v>Update this row before building the React detail panel.</x:v>
      </x:c>
    </x:row>
    <x:row r="47">
      <x:c r="A47" s="23" t="str">
        <x:v>machining</x:v>
      </x:c>
      <x:c r="B47" s="174" t="str">
        <x:v>J</x:v>
      </x:c>
      <x:c r="C47" s="174" t="str">
        <x:v>Machining</x:v>
      </x:c>
      <x:c r="D47" s="174" t="str">
        <x:v>ERP/MRP System</x:v>
      </x:c>
      <x:c r="E47" s="174" t="str">
        <x:v>PLACEHOLDER - enter software package</x:v>
      </x:c>
      <x:c r="F47" s="174" t="str">
        <x:v>Current / Placeholder</x:v>
      </x:c>
      <x:c r="G47" s="174" t="str">
        <x:v>PLACEHOLDER - owner</x:v>
      </x:c>
      <x:c r="H47" s="174" t="str">
        <x:v>PLACEHOLDER - integration direction</x:v>
      </x:c>
      <x:c r="I47" s="174" t="str">
        <x:v>PLACEHOLDER - key records/data objects</x:v>
      </x:c>
      <x:c r="J47" s="174" t="str">
        <x:v>erp_mrp_system</x:v>
      </x:c>
      <x:c r="K47" s="24" t="str">
        <x:v>Update this row before building the React detail panel.</x:v>
      </x:c>
    </x:row>
    <x:row r="48">
      <x:c r="A48" s="23" t="str">
        <x:v>machining</x:v>
      </x:c>
      <x:c r="B48" s="174" t="str">
        <x:v>J</x:v>
      </x:c>
      <x:c r="C48" s="174" t="str">
        <x:v>Machining</x:v>
      </x:c>
      <x:c r="D48" s="174" t="str">
        <x:v>Department Software</x:v>
      </x:c>
      <x:c r="E48" s="174" t="str">
        <x:v>PLACEHOLDER - enter software package</x:v>
      </x:c>
      <x:c r="F48" s="174" t="str">
        <x:v>Current / Placeholder</x:v>
      </x:c>
      <x:c r="G48" s="174" t="str">
        <x:v>PLACEHOLDER - owner</x:v>
      </x:c>
      <x:c r="H48" s="174" t="str">
        <x:v>PLACEHOLDER - integration direction</x:v>
      </x:c>
      <x:c r="I48" s="174" t="str">
        <x:v>PLACEHOLDER - key records/data objects</x:v>
      </x:c>
      <x:c r="J48" s="174" t="str">
        <x:v>department_software</x:v>
      </x:c>
      <x:c r="K48" s="24" t="str">
        <x:v>Update this row before building the React detail panel.</x:v>
      </x:c>
    </x:row>
    <x:row r="49">
      <x:c r="A49" s="23" t="str">
        <x:v>machining</x:v>
      </x:c>
      <x:c r="B49" s="174" t="str">
        <x:v>J</x:v>
      </x:c>
      <x:c r="C49" s="174" t="str">
        <x:v>Machining</x:v>
      </x:c>
      <x:c r="D49" s="174" t="str">
        <x:v>Spreadsheet/Tracker</x:v>
      </x:c>
      <x:c r="E49" s="174" t="str">
        <x:v>PLACEHOLDER - enter software package</x:v>
      </x:c>
      <x:c r="F49" s="174" t="str">
        <x:v>Current / Placeholder</x:v>
      </x:c>
      <x:c r="G49" s="174" t="str">
        <x:v>PLACEHOLDER - owner</x:v>
      </x:c>
      <x:c r="H49" s="174" t="str">
        <x:v>PLACEHOLDER - integration direction</x:v>
      </x:c>
      <x:c r="I49" s="174" t="str">
        <x:v>PLACEHOLDER - key records/data objects</x:v>
      </x:c>
      <x:c r="J49" s="174" t="str">
        <x:v>spreadsheet_tracker</x:v>
      </x:c>
      <x:c r="K49" s="24" t="str">
        <x:v>Update this row before building the React detail panel.</x:v>
      </x:c>
    </x:row>
    <x:row r="50">
      <x:c r="A50" s="23" t="str">
        <x:v>machining</x:v>
      </x:c>
      <x:c r="B50" s="174" t="str">
        <x:v>J</x:v>
      </x:c>
      <x:c r="C50" s="174" t="str">
        <x:v>Machining</x:v>
      </x:c>
      <x:c r="D50" s="174" t="str">
        <x:v>AI/Automation</x:v>
      </x:c>
      <x:c r="E50" s="174" t="str">
        <x:v>PLACEHOLDER - enter software package</x:v>
      </x:c>
      <x:c r="F50" s="174" t="str">
        <x:v>Current / Placeholder</x:v>
      </x:c>
      <x:c r="G50" s="174" t="str">
        <x:v>PLACEHOLDER - owner</x:v>
      </x:c>
      <x:c r="H50" s="174" t="str">
        <x:v>PLACEHOLDER - integration direction</x:v>
      </x:c>
      <x:c r="I50" s="174" t="str">
        <x:v>PLACEHOLDER - key records/data objects</x:v>
      </x:c>
      <x:c r="J50" s="174" t="str">
        <x:v>ai_automation</x:v>
      </x:c>
      <x:c r="K50" s="24" t="str">
        <x:v>Update this row before building the React detail panel.</x:v>
      </x:c>
    </x:row>
    <x:row r="51">
      <x:c r="A51" s="23" t="str">
        <x:v>machining</x:v>
      </x:c>
      <x:c r="B51" s="174" t="str">
        <x:v>J</x:v>
      </x:c>
      <x:c r="C51" s="174" t="str">
        <x:v>Machining</x:v>
      </x:c>
      <x:c r="D51" s="174" t="str">
        <x:v>Future/PPS Integration</x:v>
      </x:c>
      <x:c r="E51" s="174" t="str">
        <x:v>PLACEHOLDER - enter software package</x:v>
      </x:c>
      <x:c r="F51" s="174" t="str">
        <x:v>Future / Planned</x:v>
      </x:c>
      <x:c r="G51" s="174" t="str">
        <x:v>PLACEHOLDER - owner</x:v>
      </x:c>
      <x:c r="H51" s="174" t="str">
        <x:v>PLACEHOLDER - integration direction</x:v>
      </x:c>
      <x:c r="I51" s="174" t="str">
        <x:v>PLACEHOLDER - key records/data objects</x:v>
      </x:c>
      <x:c r="J51" s="174" t="str">
        <x:v>future_pps_integration</x:v>
      </x:c>
      <x:c r="K51" s="24" t="str">
        <x:v>Update this row before building the React detail panel.</x:v>
      </x:c>
    </x:row>
    <x:row r="52">
      <x:c r="A52" s="23" t="str">
        <x:v>welding</x:v>
      </x:c>
      <x:c r="B52" s="174" t="str">
        <x:v>K</x:v>
      </x:c>
      <x:c r="C52" s="174" t="str">
        <x:v>Welding</x:v>
      </x:c>
      <x:c r="D52" s="174" t="str">
        <x:v>ERP/MRP System</x:v>
      </x:c>
      <x:c r="E52" s="174" t="str">
        <x:v>PLACEHOLDER - enter software package</x:v>
      </x:c>
      <x:c r="F52" s="174" t="str">
        <x:v>Current / Placeholder</x:v>
      </x:c>
      <x:c r="G52" s="174" t="str">
        <x:v>PLACEHOLDER - owner</x:v>
      </x:c>
      <x:c r="H52" s="174" t="str">
        <x:v>PLACEHOLDER - integration direction</x:v>
      </x:c>
      <x:c r="I52" s="174" t="str">
        <x:v>PLACEHOLDER - key records/data objects</x:v>
      </x:c>
      <x:c r="J52" s="174" t="str">
        <x:v>erp_mrp_system</x:v>
      </x:c>
      <x:c r="K52" s="24" t="str">
        <x:v>Update this row before building the React detail panel.</x:v>
      </x:c>
    </x:row>
    <x:row r="53">
      <x:c r="A53" s="23" t="str">
        <x:v>welding</x:v>
      </x:c>
      <x:c r="B53" s="174" t="str">
        <x:v>K</x:v>
      </x:c>
      <x:c r="C53" s="174" t="str">
        <x:v>Welding</x:v>
      </x:c>
      <x:c r="D53" s="174" t="str">
        <x:v>Department Software</x:v>
      </x:c>
      <x:c r="E53" s="174" t="str">
        <x:v>PLACEHOLDER - enter software package</x:v>
      </x:c>
      <x:c r="F53" s="174" t="str">
        <x:v>Current / Placeholder</x:v>
      </x:c>
      <x:c r="G53" s="174" t="str">
        <x:v>PLACEHOLDER - owner</x:v>
      </x:c>
      <x:c r="H53" s="174" t="str">
        <x:v>PLACEHOLDER - integration direction</x:v>
      </x:c>
      <x:c r="I53" s="174" t="str">
        <x:v>PLACEHOLDER - key records/data objects</x:v>
      </x:c>
      <x:c r="J53" s="174" t="str">
        <x:v>department_software</x:v>
      </x:c>
      <x:c r="K53" s="24" t="str">
        <x:v>Update this row before building the React detail panel.</x:v>
      </x:c>
    </x:row>
    <x:row r="54">
      <x:c r="A54" s="23" t="str">
        <x:v>welding</x:v>
      </x:c>
      <x:c r="B54" s="174" t="str">
        <x:v>K</x:v>
      </x:c>
      <x:c r="C54" s="174" t="str">
        <x:v>Welding</x:v>
      </x:c>
      <x:c r="D54" s="174" t="str">
        <x:v>Spreadsheet/Tracker</x:v>
      </x:c>
      <x:c r="E54" s="174" t="str">
        <x:v>PLACEHOLDER - enter software package</x:v>
      </x:c>
      <x:c r="F54" s="174" t="str">
        <x:v>Current / Placeholder</x:v>
      </x:c>
      <x:c r="G54" s="174" t="str">
        <x:v>PLACEHOLDER - owner</x:v>
      </x:c>
      <x:c r="H54" s="174" t="str">
        <x:v>PLACEHOLDER - integration direction</x:v>
      </x:c>
      <x:c r="I54" s="174" t="str">
        <x:v>PLACEHOLDER - key records/data objects</x:v>
      </x:c>
      <x:c r="J54" s="174" t="str">
        <x:v>spreadsheet_tracker</x:v>
      </x:c>
      <x:c r="K54" s="24" t="str">
        <x:v>Update this row before building the React detail panel.</x:v>
      </x:c>
    </x:row>
    <x:row r="55">
      <x:c r="A55" s="23" t="str">
        <x:v>welding</x:v>
      </x:c>
      <x:c r="B55" s="174" t="str">
        <x:v>K</x:v>
      </x:c>
      <x:c r="C55" s="174" t="str">
        <x:v>Welding</x:v>
      </x:c>
      <x:c r="D55" s="174" t="str">
        <x:v>AI/Automation</x:v>
      </x:c>
      <x:c r="E55" s="174" t="str">
        <x:v>PLACEHOLDER - enter software package</x:v>
      </x:c>
      <x:c r="F55" s="174" t="str">
        <x:v>Current / Placeholder</x:v>
      </x:c>
      <x:c r="G55" s="174" t="str">
        <x:v>PLACEHOLDER - owner</x:v>
      </x:c>
      <x:c r="H55" s="174" t="str">
        <x:v>PLACEHOLDER - integration direction</x:v>
      </x:c>
      <x:c r="I55" s="174" t="str">
        <x:v>PLACEHOLDER - key records/data objects</x:v>
      </x:c>
      <x:c r="J55" s="174" t="str">
        <x:v>ai_automation</x:v>
      </x:c>
      <x:c r="K55" s="24" t="str">
        <x:v>Update this row before building the React detail panel.</x:v>
      </x:c>
    </x:row>
    <x:row r="56">
      <x:c r="A56" s="23" t="str">
        <x:v>welding</x:v>
      </x:c>
      <x:c r="B56" s="174" t="str">
        <x:v>K</x:v>
      </x:c>
      <x:c r="C56" s="174" t="str">
        <x:v>Welding</x:v>
      </x:c>
      <x:c r="D56" s="174" t="str">
        <x:v>Future/PPS Integration</x:v>
      </x:c>
      <x:c r="E56" s="174" t="str">
        <x:v>PLACEHOLDER - enter software package</x:v>
      </x:c>
      <x:c r="F56" s="174" t="str">
        <x:v>Future / Planned</x:v>
      </x:c>
      <x:c r="G56" s="174" t="str">
        <x:v>PLACEHOLDER - owner</x:v>
      </x:c>
      <x:c r="H56" s="174" t="str">
        <x:v>PLACEHOLDER - integration direction</x:v>
      </x:c>
      <x:c r="I56" s="174" t="str">
        <x:v>PLACEHOLDER - key records/data objects</x:v>
      </x:c>
      <x:c r="J56" s="174" t="str">
        <x:v>future_pps_integration</x:v>
      </x:c>
      <x:c r="K56" s="24" t="str">
        <x:v>Update this row before building the React detail panel.</x:v>
      </x:c>
    </x:row>
    <x:row r="57">
      <x:c r="A57" s="23" t="str">
        <x:v>grinding_finishing</x:v>
      </x:c>
      <x:c r="B57" s="174" t="str">
        <x:v>L</x:v>
      </x:c>
      <x:c r="C57" s="174" t="str">
        <x:v>Grinding &amp; Finishing</x:v>
      </x:c>
      <x:c r="D57" s="174" t="str">
        <x:v>ERP/MRP System</x:v>
      </x:c>
      <x:c r="E57" s="174" t="str">
        <x:v>PLACEHOLDER - enter software package</x:v>
      </x:c>
      <x:c r="F57" s="174" t="str">
        <x:v>Current / Placeholder</x:v>
      </x:c>
      <x:c r="G57" s="174" t="str">
        <x:v>PLACEHOLDER - owner</x:v>
      </x:c>
      <x:c r="H57" s="174" t="str">
        <x:v>PLACEHOLDER - integration direction</x:v>
      </x:c>
      <x:c r="I57" s="174" t="str">
        <x:v>PLACEHOLDER - key records/data objects</x:v>
      </x:c>
      <x:c r="J57" s="174" t="str">
        <x:v>erp_mrp_system</x:v>
      </x:c>
      <x:c r="K57" s="24" t="str">
        <x:v>Update this row before building the React detail panel.</x:v>
      </x:c>
    </x:row>
    <x:row r="58">
      <x:c r="A58" s="23" t="str">
        <x:v>grinding_finishing</x:v>
      </x:c>
      <x:c r="B58" s="174" t="str">
        <x:v>L</x:v>
      </x:c>
      <x:c r="C58" s="174" t="str">
        <x:v>Grinding &amp; Finishing</x:v>
      </x:c>
      <x:c r="D58" s="174" t="str">
        <x:v>Department Software</x:v>
      </x:c>
      <x:c r="E58" s="174" t="str">
        <x:v>PLACEHOLDER - enter software package</x:v>
      </x:c>
      <x:c r="F58" s="174" t="str">
        <x:v>Current / Placeholder</x:v>
      </x:c>
      <x:c r="G58" s="174" t="str">
        <x:v>PLACEHOLDER - owner</x:v>
      </x:c>
      <x:c r="H58" s="174" t="str">
        <x:v>PLACEHOLDER - integration direction</x:v>
      </x:c>
      <x:c r="I58" s="174" t="str">
        <x:v>PLACEHOLDER - key records/data objects</x:v>
      </x:c>
      <x:c r="J58" s="174" t="str">
        <x:v>department_software</x:v>
      </x:c>
      <x:c r="K58" s="24" t="str">
        <x:v>Update this row before building the React detail panel.</x:v>
      </x:c>
    </x:row>
    <x:row r="59">
      <x:c r="A59" s="23" t="str">
        <x:v>grinding_finishing</x:v>
      </x:c>
      <x:c r="B59" s="174" t="str">
        <x:v>L</x:v>
      </x:c>
      <x:c r="C59" s="174" t="str">
        <x:v>Grinding &amp; Finishing</x:v>
      </x:c>
      <x:c r="D59" s="174" t="str">
        <x:v>Spreadsheet/Tracker</x:v>
      </x:c>
      <x:c r="E59" s="174" t="str">
        <x:v>PLACEHOLDER - enter software package</x:v>
      </x:c>
      <x:c r="F59" s="174" t="str">
        <x:v>Current / Placeholder</x:v>
      </x:c>
      <x:c r="G59" s="174" t="str">
        <x:v>PLACEHOLDER - owner</x:v>
      </x:c>
      <x:c r="H59" s="174" t="str">
        <x:v>PLACEHOLDER - integration direction</x:v>
      </x:c>
      <x:c r="I59" s="174" t="str">
        <x:v>PLACEHOLDER - key records/data objects</x:v>
      </x:c>
      <x:c r="J59" s="174" t="str">
        <x:v>spreadsheet_tracker</x:v>
      </x:c>
      <x:c r="K59" s="24" t="str">
        <x:v>Update this row before building the React detail panel.</x:v>
      </x:c>
    </x:row>
    <x:row r="60">
      <x:c r="A60" s="23" t="str">
        <x:v>grinding_finishing</x:v>
      </x:c>
      <x:c r="B60" s="174" t="str">
        <x:v>L</x:v>
      </x:c>
      <x:c r="C60" s="174" t="str">
        <x:v>Grinding &amp; Finishing</x:v>
      </x:c>
      <x:c r="D60" s="174" t="str">
        <x:v>AI/Automation</x:v>
      </x:c>
      <x:c r="E60" s="174" t="str">
        <x:v>PLACEHOLDER - enter software package</x:v>
      </x:c>
      <x:c r="F60" s="174" t="str">
        <x:v>Current / Placeholder</x:v>
      </x:c>
      <x:c r="G60" s="174" t="str">
        <x:v>PLACEHOLDER - owner</x:v>
      </x:c>
      <x:c r="H60" s="174" t="str">
        <x:v>PLACEHOLDER - integration direction</x:v>
      </x:c>
      <x:c r="I60" s="174" t="str">
        <x:v>PLACEHOLDER - key records/data objects</x:v>
      </x:c>
      <x:c r="J60" s="174" t="str">
        <x:v>ai_automation</x:v>
      </x:c>
      <x:c r="K60" s="24" t="str">
        <x:v>Update this row before building the React detail panel.</x:v>
      </x:c>
    </x:row>
    <x:row r="61">
      <x:c r="A61" s="23" t="str">
        <x:v>grinding_finishing</x:v>
      </x:c>
      <x:c r="B61" s="174" t="str">
        <x:v>L</x:v>
      </x:c>
      <x:c r="C61" s="174" t="str">
        <x:v>Grinding &amp; Finishing</x:v>
      </x:c>
      <x:c r="D61" s="174" t="str">
        <x:v>Future/PPS Integration</x:v>
      </x:c>
      <x:c r="E61" s="174" t="str">
        <x:v>PLACEHOLDER - enter software package</x:v>
      </x:c>
      <x:c r="F61" s="174" t="str">
        <x:v>Future / Planned</x:v>
      </x:c>
      <x:c r="G61" s="174" t="str">
        <x:v>PLACEHOLDER - owner</x:v>
      </x:c>
      <x:c r="H61" s="174" t="str">
        <x:v>PLACEHOLDER - integration direction</x:v>
      </x:c>
      <x:c r="I61" s="174" t="str">
        <x:v>PLACEHOLDER - key records/data objects</x:v>
      </x:c>
      <x:c r="J61" s="174" t="str">
        <x:v>future_pps_integration</x:v>
      </x:c>
      <x:c r="K61" s="24" t="str">
        <x:v>Update this row before building the React detail panel.</x:v>
      </x:c>
    </x:row>
    <x:row r="62">
      <x:c r="A62" s="23" t="str">
        <x:v>coatings</x:v>
      </x:c>
      <x:c r="B62" s="174" t="str">
        <x:v>M</x:v>
      </x:c>
      <x:c r="C62" s="174" t="str">
        <x:v>Coatings</x:v>
      </x:c>
      <x:c r="D62" s="174" t="str">
        <x:v>ERP/MRP System</x:v>
      </x:c>
      <x:c r="E62" s="174" t="str">
        <x:v>PLACEHOLDER - enter software package</x:v>
      </x:c>
      <x:c r="F62" s="174" t="str">
        <x:v>Current / Placeholder</x:v>
      </x:c>
      <x:c r="G62" s="174" t="str">
        <x:v>PLACEHOLDER - owner</x:v>
      </x:c>
      <x:c r="H62" s="174" t="str">
        <x:v>PLACEHOLDER - integration direction</x:v>
      </x:c>
      <x:c r="I62" s="174" t="str">
        <x:v>PLACEHOLDER - key records/data objects</x:v>
      </x:c>
      <x:c r="J62" s="174" t="str">
        <x:v>erp_mrp_system</x:v>
      </x:c>
      <x:c r="K62" s="24" t="str">
        <x:v>Update this row before building the React detail panel.</x:v>
      </x:c>
    </x:row>
    <x:row r="63">
      <x:c r="A63" s="23" t="str">
        <x:v>coatings</x:v>
      </x:c>
      <x:c r="B63" s="174" t="str">
        <x:v>M</x:v>
      </x:c>
      <x:c r="C63" s="174" t="str">
        <x:v>Coatings</x:v>
      </x:c>
      <x:c r="D63" s="174" t="str">
        <x:v>Department Software</x:v>
      </x:c>
      <x:c r="E63" s="174" t="str">
        <x:v>PLACEHOLDER - enter software package</x:v>
      </x:c>
      <x:c r="F63" s="174" t="str">
        <x:v>Current / Placeholder</x:v>
      </x:c>
      <x:c r="G63" s="174" t="str">
        <x:v>PLACEHOLDER - owner</x:v>
      </x:c>
      <x:c r="H63" s="174" t="str">
        <x:v>PLACEHOLDER - integration direction</x:v>
      </x:c>
      <x:c r="I63" s="174" t="str">
        <x:v>PLACEHOLDER - key records/data objects</x:v>
      </x:c>
      <x:c r="J63" s="174" t="str">
        <x:v>department_software</x:v>
      </x:c>
      <x:c r="K63" s="24" t="str">
        <x:v>Update this row before building the React detail panel.</x:v>
      </x:c>
    </x:row>
    <x:row r="64">
      <x:c r="A64" s="23" t="str">
        <x:v>coatings</x:v>
      </x:c>
      <x:c r="B64" s="174" t="str">
        <x:v>M</x:v>
      </x:c>
      <x:c r="C64" s="174" t="str">
        <x:v>Coatings</x:v>
      </x:c>
      <x:c r="D64" s="174" t="str">
        <x:v>Spreadsheet/Tracker</x:v>
      </x:c>
      <x:c r="E64" s="174" t="str">
        <x:v>PLACEHOLDER - enter software package</x:v>
      </x:c>
      <x:c r="F64" s="174" t="str">
        <x:v>Current / Placeholder</x:v>
      </x:c>
      <x:c r="G64" s="174" t="str">
        <x:v>PLACEHOLDER - owner</x:v>
      </x:c>
      <x:c r="H64" s="174" t="str">
        <x:v>PLACEHOLDER - integration direction</x:v>
      </x:c>
      <x:c r="I64" s="174" t="str">
        <x:v>PLACEHOLDER - key records/data objects</x:v>
      </x:c>
      <x:c r="J64" s="174" t="str">
        <x:v>spreadsheet_tracker</x:v>
      </x:c>
      <x:c r="K64" s="24" t="str">
        <x:v>Update this row before building the React detail panel.</x:v>
      </x:c>
    </x:row>
    <x:row r="65">
      <x:c r="A65" s="23" t="str">
        <x:v>coatings</x:v>
      </x:c>
      <x:c r="B65" s="174" t="str">
        <x:v>M</x:v>
      </x:c>
      <x:c r="C65" s="174" t="str">
        <x:v>Coatings</x:v>
      </x:c>
      <x:c r="D65" s="174" t="str">
        <x:v>AI/Automation</x:v>
      </x:c>
      <x:c r="E65" s="174" t="str">
        <x:v>PLACEHOLDER - enter software package</x:v>
      </x:c>
      <x:c r="F65" s="174" t="str">
        <x:v>Current / Placeholder</x:v>
      </x:c>
      <x:c r="G65" s="174" t="str">
        <x:v>PLACEHOLDER - owner</x:v>
      </x:c>
      <x:c r="H65" s="174" t="str">
        <x:v>PLACEHOLDER - integration direction</x:v>
      </x:c>
      <x:c r="I65" s="174" t="str">
        <x:v>PLACEHOLDER - key records/data objects</x:v>
      </x:c>
      <x:c r="J65" s="174" t="str">
        <x:v>ai_automation</x:v>
      </x:c>
      <x:c r="K65" s="24" t="str">
        <x:v>Update this row before building the React detail panel.</x:v>
      </x:c>
    </x:row>
    <x:row r="66">
      <x:c r="A66" s="23" t="str">
        <x:v>coatings</x:v>
      </x:c>
      <x:c r="B66" s="174" t="str">
        <x:v>M</x:v>
      </x:c>
      <x:c r="C66" s="174" t="str">
        <x:v>Coatings</x:v>
      </x:c>
      <x:c r="D66" s="174" t="str">
        <x:v>Future/PPS Integration</x:v>
      </x:c>
      <x:c r="E66" s="174" t="str">
        <x:v>PLACEHOLDER - enter software package</x:v>
      </x:c>
      <x:c r="F66" s="174" t="str">
        <x:v>Future / Planned</x:v>
      </x:c>
      <x:c r="G66" s="174" t="str">
        <x:v>PLACEHOLDER - owner</x:v>
      </x:c>
      <x:c r="H66" s="174" t="str">
        <x:v>PLACEHOLDER - integration direction</x:v>
      </x:c>
      <x:c r="I66" s="174" t="str">
        <x:v>PLACEHOLDER - key records/data objects</x:v>
      </x:c>
      <x:c r="J66" s="174" t="str">
        <x:v>future_pps_integration</x:v>
      </x:c>
      <x:c r="K66" s="24" t="str">
        <x:v>Update this row before building the React detail panel.</x:v>
      </x:c>
    </x:row>
    <x:row r="67">
      <x:c r="A67" s="23" t="str">
        <x:v>marking</x:v>
      </x:c>
      <x:c r="B67" s="174" t="str">
        <x:v>N</x:v>
      </x:c>
      <x:c r="C67" s="174" t="str">
        <x:v>Marking</x:v>
      </x:c>
      <x:c r="D67" s="174" t="str">
        <x:v>ERP/MRP System</x:v>
      </x:c>
      <x:c r="E67" s="174" t="str">
        <x:v>PLACEHOLDER - enter software package</x:v>
      </x:c>
      <x:c r="F67" s="174" t="str">
        <x:v>Current / Placeholder</x:v>
      </x:c>
      <x:c r="G67" s="174" t="str">
        <x:v>PLACEHOLDER - owner</x:v>
      </x:c>
      <x:c r="H67" s="174" t="str">
        <x:v>PLACEHOLDER - integration direction</x:v>
      </x:c>
      <x:c r="I67" s="174" t="str">
        <x:v>PLACEHOLDER - key records/data objects</x:v>
      </x:c>
      <x:c r="J67" s="174" t="str">
        <x:v>erp_mrp_system</x:v>
      </x:c>
      <x:c r="K67" s="24" t="str">
        <x:v>Update this row before building the React detail panel.</x:v>
      </x:c>
    </x:row>
    <x:row r="68">
      <x:c r="A68" s="23" t="str">
        <x:v>marking</x:v>
      </x:c>
      <x:c r="B68" s="174" t="str">
        <x:v>N</x:v>
      </x:c>
      <x:c r="C68" s="174" t="str">
        <x:v>Marking</x:v>
      </x:c>
      <x:c r="D68" s="174" t="str">
        <x:v>Department Software</x:v>
      </x:c>
      <x:c r="E68" s="174" t="str">
        <x:v>PLACEHOLDER - enter software package</x:v>
      </x:c>
      <x:c r="F68" s="174" t="str">
        <x:v>Current / Placeholder</x:v>
      </x:c>
      <x:c r="G68" s="174" t="str">
        <x:v>PLACEHOLDER - owner</x:v>
      </x:c>
      <x:c r="H68" s="174" t="str">
        <x:v>PLACEHOLDER - integration direction</x:v>
      </x:c>
      <x:c r="I68" s="174" t="str">
        <x:v>PLACEHOLDER - key records/data objects</x:v>
      </x:c>
      <x:c r="J68" s="174" t="str">
        <x:v>department_software</x:v>
      </x:c>
      <x:c r="K68" s="24" t="str">
        <x:v>Update this row before building the React detail panel.</x:v>
      </x:c>
    </x:row>
    <x:row r="69">
      <x:c r="A69" s="23" t="str">
        <x:v>marking</x:v>
      </x:c>
      <x:c r="B69" s="174" t="str">
        <x:v>N</x:v>
      </x:c>
      <x:c r="C69" s="174" t="str">
        <x:v>Marking</x:v>
      </x:c>
      <x:c r="D69" s="174" t="str">
        <x:v>Spreadsheet/Tracker</x:v>
      </x:c>
      <x:c r="E69" s="174" t="str">
        <x:v>PLACEHOLDER - enter software package</x:v>
      </x:c>
      <x:c r="F69" s="174" t="str">
        <x:v>Current / Placeholder</x:v>
      </x:c>
      <x:c r="G69" s="174" t="str">
        <x:v>PLACEHOLDER - owner</x:v>
      </x:c>
      <x:c r="H69" s="174" t="str">
        <x:v>PLACEHOLDER - integration direction</x:v>
      </x:c>
      <x:c r="I69" s="174" t="str">
        <x:v>PLACEHOLDER - key records/data objects</x:v>
      </x:c>
      <x:c r="J69" s="174" t="str">
        <x:v>spreadsheet_tracker</x:v>
      </x:c>
      <x:c r="K69" s="24" t="str">
        <x:v>Update this row before building the React detail panel.</x:v>
      </x:c>
    </x:row>
    <x:row r="70">
      <x:c r="A70" s="23" t="str">
        <x:v>marking</x:v>
      </x:c>
      <x:c r="B70" s="174" t="str">
        <x:v>N</x:v>
      </x:c>
      <x:c r="C70" s="174" t="str">
        <x:v>Marking</x:v>
      </x:c>
      <x:c r="D70" s="174" t="str">
        <x:v>AI/Automation</x:v>
      </x:c>
      <x:c r="E70" s="174" t="str">
        <x:v>PLACEHOLDER - enter software package</x:v>
      </x:c>
      <x:c r="F70" s="174" t="str">
        <x:v>Current / Placeholder</x:v>
      </x:c>
      <x:c r="G70" s="174" t="str">
        <x:v>PLACEHOLDER - owner</x:v>
      </x:c>
      <x:c r="H70" s="174" t="str">
        <x:v>PLACEHOLDER - integration direction</x:v>
      </x:c>
      <x:c r="I70" s="174" t="str">
        <x:v>PLACEHOLDER - key records/data objects</x:v>
      </x:c>
      <x:c r="J70" s="174" t="str">
        <x:v>ai_automation</x:v>
      </x:c>
      <x:c r="K70" s="24" t="str">
        <x:v>Update this row before building the React detail panel.</x:v>
      </x:c>
    </x:row>
    <x:row r="71">
      <x:c r="A71" s="23" t="str">
        <x:v>marking</x:v>
      </x:c>
      <x:c r="B71" s="174" t="str">
        <x:v>N</x:v>
      </x:c>
      <x:c r="C71" s="174" t="str">
        <x:v>Marking</x:v>
      </x:c>
      <x:c r="D71" s="174" t="str">
        <x:v>Future/PPS Integration</x:v>
      </x:c>
      <x:c r="E71" s="174" t="str">
        <x:v>PLACEHOLDER - enter software package</x:v>
      </x:c>
      <x:c r="F71" s="174" t="str">
        <x:v>Future / Planned</x:v>
      </x:c>
      <x:c r="G71" s="174" t="str">
        <x:v>PLACEHOLDER - owner</x:v>
      </x:c>
      <x:c r="H71" s="174" t="str">
        <x:v>PLACEHOLDER - integration direction</x:v>
      </x:c>
      <x:c r="I71" s="174" t="str">
        <x:v>PLACEHOLDER - key records/data objects</x:v>
      </x:c>
      <x:c r="J71" s="174" t="str">
        <x:v>future_pps_integration</x:v>
      </x:c>
      <x:c r="K71" s="24" t="str">
        <x:v>Update this row before building the React detail panel.</x:v>
      </x:c>
    </x:row>
    <x:row r="72">
      <x:c r="A72" s="23" t="str">
        <x:v>assembly</x:v>
      </x:c>
      <x:c r="B72" s="174" t="str">
        <x:v>O</x:v>
      </x:c>
      <x:c r="C72" s="174" t="str">
        <x:v>Assembly</x:v>
      </x:c>
      <x:c r="D72" s="174" t="str">
        <x:v>ERP/MRP System</x:v>
      </x:c>
      <x:c r="E72" s="174" t="str">
        <x:v>PLACEHOLDER - enter software package</x:v>
      </x:c>
      <x:c r="F72" s="174" t="str">
        <x:v>Current / Placeholder</x:v>
      </x:c>
      <x:c r="G72" s="174" t="str">
        <x:v>PLACEHOLDER - owner</x:v>
      </x:c>
      <x:c r="H72" s="174" t="str">
        <x:v>PLACEHOLDER - integration direction</x:v>
      </x:c>
      <x:c r="I72" s="174" t="str">
        <x:v>PLACEHOLDER - key records/data objects</x:v>
      </x:c>
      <x:c r="J72" s="174" t="str">
        <x:v>erp_mrp_system</x:v>
      </x:c>
      <x:c r="K72" s="24" t="str">
        <x:v>Update this row before building the React detail panel.</x:v>
      </x:c>
    </x:row>
    <x:row r="73">
      <x:c r="A73" s="23" t="str">
        <x:v>assembly</x:v>
      </x:c>
      <x:c r="B73" s="174" t="str">
        <x:v>O</x:v>
      </x:c>
      <x:c r="C73" s="174" t="str">
        <x:v>Assembly</x:v>
      </x:c>
      <x:c r="D73" s="174" t="str">
        <x:v>Department Software</x:v>
      </x:c>
      <x:c r="E73" s="174" t="str">
        <x:v>PLACEHOLDER - enter software package</x:v>
      </x:c>
      <x:c r="F73" s="174" t="str">
        <x:v>Current / Placeholder</x:v>
      </x:c>
      <x:c r="G73" s="174" t="str">
        <x:v>PLACEHOLDER - owner</x:v>
      </x:c>
      <x:c r="H73" s="174" t="str">
        <x:v>PLACEHOLDER - integration direction</x:v>
      </x:c>
      <x:c r="I73" s="174" t="str">
        <x:v>PLACEHOLDER - key records/data objects</x:v>
      </x:c>
      <x:c r="J73" s="174" t="str">
        <x:v>department_software</x:v>
      </x:c>
      <x:c r="K73" s="24" t="str">
        <x:v>Update this row before building the React detail panel.</x:v>
      </x:c>
    </x:row>
    <x:row r="74">
      <x:c r="A74" s="23" t="str">
        <x:v>assembly</x:v>
      </x:c>
      <x:c r="B74" s="174" t="str">
        <x:v>O</x:v>
      </x:c>
      <x:c r="C74" s="174" t="str">
        <x:v>Assembly</x:v>
      </x:c>
      <x:c r="D74" s="174" t="str">
        <x:v>Spreadsheet/Tracker</x:v>
      </x:c>
      <x:c r="E74" s="174" t="str">
        <x:v>PLACEHOLDER - enter software package</x:v>
      </x:c>
      <x:c r="F74" s="174" t="str">
        <x:v>Current / Placeholder</x:v>
      </x:c>
      <x:c r="G74" s="174" t="str">
        <x:v>PLACEHOLDER - owner</x:v>
      </x:c>
      <x:c r="H74" s="174" t="str">
        <x:v>PLACEHOLDER - integration direction</x:v>
      </x:c>
      <x:c r="I74" s="174" t="str">
        <x:v>PLACEHOLDER - key records/data objects</x:v>
      </x:c>
      <x:c r="J74" s="174" t="str">
        <x:v>spreadsheet_tracker</x:v>
      </x:c>
      <x:c r="K74" s="24" t="str">
        <x:v>Update this row before building the React detail panel.</x:v>
      </x:c>
    </x:row>
    <x:row r="75">
      <x:c r="A75" s="23" t="str">
        <x:v>assembly</x:v>
      </x:c>
      <x:c r="B75" s="174" t="str">
        <x:v>O</x:v>
      </x:c>
      <x:c r="C75" s="174" t="str">
        <x:v>Assembly</x:v>
      </x:c>
      <x:c r="D75" s="174" t="str">
        <x:v>AI/Automation</x:v>
      </x:c>
      <x:c r="E75" s="174" t="str">
        <x:v>PLACEHOLDER - enter software package</x:v>
      </x:c>
      <x:c r="F75" s="174" t="str">
        <x:v>Current / Placeholder</x:v>
      </x:c>
      <x:c r="G75" s="174" t="str">
        <x:v>PLACEHOLDER - owner</x:v>
      </x:c>
      <x:c r="H75" s="174" t="str">
        <x:v>PLACEHOLDER - integration direction</x:v>
      </x:c>
      <x:c r="I75" s="174" t="str">
        <x:v>PLACEHOLDER - key records/data objects</x:v>
      </x:c>
      <x:c r="J75" s="174" t="str">
        <x:v>ai_automation</x:v>
      </x:c>
      <x:c r="K75" s="24" t="str">
        <x:v>Update this row before building the React detail panel.</x:v>
      </x:c>
    </x:row>
    <x:row r="76">
      <x:c r="A76" s="23" t="str">
        <x:v>assembly</x:v>
      </x:c>
      <x:c r="B76" s="174" t="str">
        <x:v>O</x:v>
      </x:c>
      <x:c r="C76" s="174" t="str">
        <x:v>Assembly</x:v>
      </x:c>
      <x:c r="D76" s="174" t="str">
        <x:v>Future/PPS Integration</x:v>
      </x:c>
      <x:c r="E76" s="174" t="str">
        <x:v>PLACEHOLDER - enter software package</x:v>
      </x:c>
      <x:c r="F76" s="174" t="str">
        <x:v>Future / Planned</x:v>
      </x:c>
      <x:c r="G76" s="174" t="str">
        <x:v>PLACEHOLDER - owner</x:v>
      </x:c>
      <x:c r="H76" s="174" t="str">
        <x:v>PLACEHOLDER - integration direction</x:v>
      </x:c>
      <x:c r="I76" s="174" t="str">
        <x:v>PLACEHOLDER - key records/data objects</x:v>
      </x:c>
      <x:c r="J76" s="174" t="str">
        <x:v>future_pps_integration</x:v>
      </x:c>
      <x:c r="K76" s="24" t="str">
        <x:v>Update this row before building the React detail panel.</x:v>
      </x:c>
    </x:row>
    <x:row r="77">
      <x:c r="A77" s="23" t="str">
        <x:v>testing</x:v>
      </x:c>
      <x:c r="B77" s="174" t="str">
        <x:v>P</x:v>
      </x:c>
      <x:c r="C77" s="174" t="str">
        <x:v>Testing</x:v>
      </x:c>
      <x:c r="D77" s="174" t="str">
        <x:v>ERP/MRP System</x:v>
      </x:c>
      <x:c r="E77" s="174" t="str">
        <x:v>PLACEHOLDER - enter software package</x:v>
      </x:c>
      <x:c r="F77" s="174" t="str">
        <x:v>Current / Placeholder</x:v>
      </x:c>
      <x:c r="G77" s="174" t="str">
        <x:v>PLACEHOLDER - owner</x:v>
      </x:c>
      <x:c r="H77" s="174" t="str">
        <x:v>PLACEHOLDER - integration direction</x:v>
      </x:c>
      <x:c r="I77" s="174" t="str">
        <x:v>PLACEHOLDER - key records/data objects</x:v>
      </x:c>
      <x:c r="J77" s="174" t="str">
        <x:v>erp_mrp_system</x:v>
      </x:c>
      <x:c r="K77" s="24" t="str">
        <x:v>Update this row before building the React detail panel.</x:v>
      </x:c>
    </x:row>
    <x:row r="78">
      <x:c r="A78" s="23" t="str">
        <x:v>testing</x:v>
      </x:c>
      <x:c r="B78" s="174" t="str">
        <x:v>P</x:v>
      </x:c>
      <x:c r="C78" s="174" t="str">
        <x:v>Testing</x:v>
      </x:c>
      <x:c r="D78" s="174" t="str">
        <x:v>Department Software</x:v>
      </x:c>
      <x:c r="E78" s="174" t="str">
        <x:v>PLACEHOLDER - enter software package</x:v>
      </x:c>
      <x:c r="F78" s="174" t="str">
        <x:v>Current / Placeholder</x:v>
      </x:c>
      <x:c r="G78" s="174" t="str">
        <x:v>PLACEHOLDER - owner</x:v>
      </x:c>
      <x:c r="H78" s="174" t="str">
        <x:v>PLACEHOLDER - integration direction</x:v>
      </x:c>
      <x:c r="I78" s="174" t="str">
        <x:v>PLACEHOLDER - key records/data objects</x:v>
      </x:c>
      <x:c r="J78" s="174" t="str">
        <x:v>department_software</x:v>
      </x:c>
      <x:c r="K78" s="24" t="str">
        <x:v>Update this row before building the React detail panel.</x:v>
      </x:c>
    </x:row>
    <x:row r="79">
      <x:c r="A79" s="23" t="str">
        <x:v>testing</x:v>
      </x:c>
      <x:c r="B79" s="174" t="str">
        <x:v>P</x:v>
      </x:c>
      <x:c r="C79" s="174" t="str">
        <x:v>Testing</x:v>
      </x:c>
      <x:c r="D79" s="174" t="str">
        <x:v>Spreadsheet/Tracker</x:v>
      </x:c>
      <x:c r="E79" s="174" t="str">
        <x:v>PLACEHOLDER - enter software package</x:v>
      </x:c>
      <x:c r="F79" s="174" t="str">
        <x:v>Current / Placeholder</x:v>
      </x:c>
      <x:c r="G79" s="174" t="str">
        <x:v>PLACEHOLDER - owner</x:v>
      </x:c>
      <x:c r="H79" s="174" t="str">
        <x:v>PLACEHOLDER - integration direction</x:v>
      </x:c>
      <x:c r="I79" s="174" t="str">
        <x:v>PLACEHOLDER - key records/data objects</x:v>
      </x:c>
      <x:c r="J79" s="174" t="str">
        <x:v>spreadsheet_tracker</x:v>
      </x:c>
      <x:c r="K79" s="24" t="str">
        <x:v>Update this row before building the React detail panel.</x:v>
      </x:c>
    </x:row>
    <x:row r="80">
      <x:c r="A80" s="23" t="str">
        <x:v>testing</x:v>
      </x:c>
      <x:c r="B80" s="174" t="str">
        <x:v>P</x:v>
      </x:c>
      <x:c r="C80" s="174" t="str">
        <x:v>Testing</x:v>
      </x:c>
      <x:c r="D80" s="174" t="str">
        <x:v>AI/Automation</x:v>
      </x:c>
      <x:c r="E80" s="174" t="str">
        <x:v>PLACEHOLDER - enter software package</x:v>
      </x:c>
      <x:c r="F80" s="174" t="str">
        <x:v>Current / Placeholder</x:v>
      </x:c>
      <x:c r="G80" s="174" t="str">
        <x:v>PLACEHOLDER - owner</x:v>
      </x:c>
      <x:c r="H80" s="174" t="str">
        <x:v>PLACEHOLDER - integration direction</x:v>
      </x:c>
      <x:c r="I80" s="174" t="str">
        <x:v>PLACEHOLDER - key records/data objects</x:v>
      </x:c>
      <x:c r="J80" s="174" t="str">
        <x:v>ai_automation</x:v>
      </x:c>
      <x:c r="K80" s="24" t="str">
        <x:v>Update this row before building the React detail panel.</x:v>
      </x:c>
    </x:row>
    <x:row r="81">
      <x:c r="A81" s="23" t="str">
        <x:v>testing</x:v>
      </x:c>
      <x:c r="B81" s="174" t="str">
        <x:v>P</x:v>
      </x:c>
      <x:c r="C81" s="174" t="str">
        <x:v>Testing</x:v>
      </x:c>
      <x:c r="D81" s="174" t="str">
        <x:v>Future/PPS Integration</x:v>
      </x:c>
      <x:c r="E81" s="174" t="str">
        <x:v>PLACEHOLDER - enter software package</x:v>
      </x:c>
      <x:c r="F81" s="174" t="str">
        <x:v>Future / Planned</x:v>
      </x:c>
      <x:c r="G81" s="174" t="str">
        <x:v>PLACEHOLDER - owner</x:v>
      </x:c>
      <x:c r="H81" s="174" t="str">
        <x:v>PLACEHOLDER - integration direction</x:v>
      </x:c>
      <x:c r="I81" s="174" t="str">
        <x:v>PLACEHOLDER - key records/data objects</x:v>
      </x:c>
      <x:c r="J81" s="174" t="str">
        <x:v>future_pps_integration</x:v>
      </x:c>
      <x:c r="K81" s="24" t="str">
        <x:v>Update this row before building the React detail panel.</x:v>
      </x:c>
    </x:row>
    <x:row r="82">
      <x:c r="A82" s="23" t="str">
        <x:v>final_quality_assurance</x:v>
      </x:c>
      <x:c r="B82" s="174" t="str">
        <x:v>Q</x:v>
      </x:c>
      <x:c r="C82" s="174" t="str">
        <x:v>Final Quality Assurance</x:v>
      </x:c>
      <x:c r="D82" s="174" t="str">
        <x:v>ERP/MRP System</x:v>
      </x:c>
      <x:c r="E82" s="174" t="str">
        <x:v>PLACEHOLDER - enter software package</x:v>
      </x:c>
      <x:c r="F82" s="174" t="str">
        <x:v>Current / Placeholder</x:v>
      </x:c>
      <x:c r="G82" s="174" t="str">
        <x:v>PLACEHOLDER - owner</x:v>
      </x:c>
      <x:c r="H82" s="174" t="str">
        <x:v>PLACEHOLDER - integration direction</x:v>
      </x:c>
      <x:c r="I82" s="174" t="str">
        <x:v>PLACEHOLDER - key records/data objects</x:v>
      </x:c>
      <x:c r="J82" s="174" t="str">
        <x:v>erp_mrp_system</x:v>
      </x:c>
      <x:c r="K82" s="24" t="str">
        <x:v>Update this row before building the React detail panel.</x:v>
      </x:c>
    </x:row>
    <x:row r="83">
      <x:c r="A83" s="23" t="str">
        <x:v>final_quality_assurance</x:v>
      </x:c>
      <x:c r="B83" s="174" t="str">
        <x:v>Q</x:v>
      </x:c>
      <x:c r="C83" s="174" t="str">
        <x:v>Final Quality Assurance</x:v>
      </x:c>
      <x:c r="D83" s="174" t="str">
        <x:v>Department Software</x:v>
      </x:c>
      <x:c r="E83" s="174" t="str">
        <x:v>PLACEHOLDER - enter software package</x:v>
      </x:c>
      <x:c r="F83" s="174" t="str">
        <x:v>Current / Placeholder</x:v>
      </x:c>
      <x:c r="G83" s="174" t="str">
        <x:v>PLACEHOLDER - owner</x:v>
      </x:c>
      <x:c r="H83" s="174" t="str">
        <x:v>PLACEHOLDER - integration direction</x:v>
      </x:c>
      <x:c r="I83" s="174" t="str">
        <x:v>PLACEHOLDER - key records/data objects</x:v>
      </x:c>
      <x:c r="J83" s="174" t="str">
        <x:v>department_software</x:v>
      </x:c>
      <x:c r="K83" s="24" t="str">
        <x:v>Update this row before building the React detail panel.</x:v>
      </x:c>
    </x:row>
    <x:row r="84">
      <x:c r="A84" s="23" t="str">
        <x:v>final_quality_assurance</x:v>
      </x:c>
      <x:c r="B84" s="174" t="str">
        <x:v>Q</x:v>
      </x:c>
      <x:c r="C84" s="174" t="str">
        <x:v>Final Quality Assurance</x:v>
      </x:c>
      <x:c r="D84" s="174" t="str">
        <x:v>Spreadsheet/Tracker</x:v>
      </x:c>
      <x:c r="E84" s="174" t="str">
        <x:v>PLACEHOLDER - enter software package</x:v>
      </x:c>
      <x:c r="F84" s="174" t="str">
        <x:v>Current / Placeholder</x:v>
      </x:c>
      <x:c r="G84" s="174" t="str">
        <x:v>PLACEHOLDER - owner</x:v>
      </x:c>
      <x:c r="H84" s="174" t="str">
        <x:v>PLACEHOLDER - integration direction</x:v>
      </x:c>
      <x:c r="I84" s="174" t="str">
        <x:v>PLACEHOLDER - key records/data objects</x:v>
      </x:c>
      <x:c r="J84" s="174" t="str">
        <x:v>spreadsheet_tracker</x:v>
      </x:c>
      <x:c r="K84" s="24" t="str">
        <x:v>Update this row before building the React detail panel.</x:v>
      </x:c>
    </x:row>
    <x:row r="85">
      <x:c r="A85" s="23" t="str">
        <x:v>final_quality_assurance</x:v>
      </x:c>
      <x:c r="B85" s="174" t="str">
        <x:v>Q</x:v>
      </x:c>
      <x:c r="C85" s="174" t="str">
        <x:v>Final Quality Assurance</x:v>
      </x:c>
      <x:c r="D85" s="174" t="str">
        <x:v>AI/Automation</x:v>
      </x:c>
      <x:c r="E85" s="174" t="str">
        <x:v>PLACEHOLDER - enter software package</x:v>
      </x:c>
      <x:c r="F85" s="174" t="str">
        <x:v>Current / Placeholder</x:v>
      </x:c>
      <x:c r="G85" s="174" t="str">
        <x:v>PLACEHOLDER - owner</x:v>
      </x:c>
      <x:c r="H85" s="174" t="str">
        <x:v>PLACEHOLDER - integration direction</x:v>
      </x:c>
      <x:c r="I85" s="174" t="str">
        <x:v>PLACEHOLDER - key records/data objects</x:v>
      </x:c>
      <x:c r="J85" s="174" t="str">
        <x:v>ai_automation</x:v>
      </x:c>
      <x:c r="K85" s="24" t="str">
        <x:v>Update this row before building the React detail panel.</x:v>
      </x:c>
    </x:row>
    <x:row r="86">
      <x:c r="A86" s="23" t="str">
        <x:v>final_quality_assurance</x:v>
      </x:c>
      <x:c r="B86" s="174" t="str">
        <x:v>Q</x:v>
      </x:c>
      <x:c r="C86" s="174" t="str">
        <x:v>Final Quality Assurance</x:v>
      </x:c>
      <x:c r="D86" s="174" t="str">
        <x:v>Future/PPS Integration</x:v>
      </x:c>
      <x:c r="E86" s="174" t="str">
        <x:v>PLACEHOLDER - enter software package</x:v>
      </x:c>
      <x:c r="F86" s="174" t="str">
        <x:v>Future / Planned</x:v>
      </x:c>
      <x:c r="G86" s="174" t="str">
        <x:v>PLACEHOLDER - owner</x:v>
      </x:c>
      <x:c r="H86" s="174" t="str">
        <x:v>PLACEHOLDER - integration direction</x:v>
      </x:c>
      <x:c r="I86" s="174" t="str">
        <x:v>PLACEHOLDER - key records/data objects</x:v>
      </x:c>
      <x:c r="J86" s="174" t="str">
        <x:v>future_pps_integration</x:v>
      </x:c>
      <x:c r="K86" s="24" t="str">
        <x:v>Update this row before building the React detail panel.</x:v>
      </x:c>
    </x:row>
    <x:row r="87">
      <x:c r="A87" s="23" t="str">
        <x:v>shipping_customer_delivery</x:v>
      </x:c>
      <x:c r="B87" s="174" t="str">
        <x:v>R</x:v>
      </x:c>
      <x:c r="C87" s="174" t="str">
        <x:v>Shipping &amp; Customer Delivery</x:v>
      </x:c>
      <x:c r="D87" s="174" t="str">
        <x:v>ERP/MRP System</x:v>
      </x:c>
      <x:c r="E87" s="174" t="str">
        <x:v>PLACEHOLDER - enter software package</x:v>
      </x:c>
      <x:c r="F87" s="174" t="str">
        <x:v>Current / Placeholder</x:v>
      </x:c>
      <x:c r="G87" s="174" t="str">
        <x:v>PLACEHOLDER - owner</x:v>
      </x:c>
      <x:c r="H87" s="174" t="str">
        <x:v>PLACEHOLDER - integration direction</x:v>
      </x:c>
      <x:c r="I87" s="174" t="str">
        <x:v>PLACEHOLDER - key records/data objects</x:v>
      </x:c>
      <x:c r="J87" s="174" t="str">
        <x:v>erp_mrp_system</x:v>
      </x:c>
      <x:c r="K87" s="24" t="str">
        <x:v>Update this row before building the React detail panel.</x:v>
      </x:c>
    </x:row>
    <x:row r="88">
      <x:c r="A88" s="23" t="str">
        <x:v>shipping_customer_delivery</x:v>
      </x:c>
      <x:c r="B88" s="174" t="str">
        <x:v>R</x:v>
      </x:c>
      <x:c r="C88" s="174" t="str">
        <x:v>Shipping &amp; Customer Delivery</x:v>
      </x:c>
      <x:c r="D88" s="174" t="str">
        <x:v>Department Software</x:v>
      </x:c>
      <x:c r="E88" s="174" t="str">
        <x:v>PLACEHOLDER - enter software package</x:v>
      </x:c>
      <x:c r="F88" s="174" t="str">
        <x:v>Current / Placeholder</x:v>
      </x:c>
      <x:c r="G88" s="174" t="str">
        <x:v>PLACEHOLDER - owner</x:v>
      </x:c>
      <x:c r="H88" s="174" t="str">
        <x:v>PLACEHOLDER - integration direction</x:v>
      </x:c>
      <x:c r="I88" s="174" t="str">
        <x:v>PLACEHOLDER - key records/data objects</x:v>
      </x:c>
      <x:c r="J88" s="174" t="str">
        <x:v>department_software</x:v>
      </x:c>
      <x:c r="K88" s="24" t="str">
        <x:v>Update this row before building the React detail panel.</x:v>
      </x:c>
    </x:row>
    <x:row r="89">
      <x:c r="A89" s="23" t="str">
        <x:v>shipping_customer_delivery</x:v>
      </x:c>
      <x:c r="B89" s="174" t="str">
        <x:v>R</x:v>
      </x:c>
      <x:c r="C89" s="174" t="str">
        <x:v>Shipping &amp; Customer Delivery</x:v>
      </x:c>
      <x:c r="D89" s="174" t="str">
        <x:v>Spreadsheet/Tracker</x:v>
      </x:c>
      <x:c r="E89" s="174" t="str">
        <x:v>PLACEHOLDER - enter software package</x:v>
      </x:c>
      <x:c r="F89" s="174" t="str">
        <x:v>Current / Placeholder</x:v>
      </x:c>
      <x:c r="G89" s="174" t="str">
        <x:v>PLACEHOLDER - owner</x:v>
      </x:c>
      <x:c r="H89" s="174" t="str">
        <x:v>PLACEHOLDER - integration direction</x:v>
      </x:c>
      <x:c r="I89" s="174" t="str">
        <x:v>PLACEHOLDER - key records/data objects</x:v>
      </x:c>
      <x:c r="J89" s="174" t="str">
        <x:v>spreadsheet_tracker</x:v>
      </x:c>
      <x:c r="K89" s="24" t="str">
        <x:v>Update this row before building the React detail panel.</x:v>
      </x:c>
    </x:row>
    <x:row r="90">
      <x:c r="A90" s="23" t="str">
        <x:v>shipping_customer_delivery</x:v>
      </x:c>
      <x:c r="B90" s="174" t="str">
        <x:v>R</x:v>
      </x:c>
      <x:c r="C90" s="174" t="str">
        <x:v>Shipping &amp; Customer Delivery</x:v>
      </x:c>
      <x:c r="D90" s="174" t="str">
        <x:v>AI/Automation</x:v>
      </x:c>
      <x:c r="E90" s="174" t="str">
        <x:v>PLACEHOLDER - enter software package</x:v>
      </x:c>
      <x:c r="F90" s="174" t="str">
        <x:v>Current / Placeholder</x:v>
      </x:c>
      <x:c r="G90" s="174" t="str">
        <x:v>PLACEHOLDER - owner</x:v>
      </x:c>
      <x:c r="H90" s="174" t="str">
        <x:v>PLACEHOLDER - integration direction</x:v>
      </x:c>
      <x:c r="I90" s="174" t="str">
        <x:v>PLACEHOLDER - key records/data objects</x:v>
      </x:c>
      <x:c r="J90" s="174" t="str">
        <x:v>ai_automation</x:v>
      </x:c>
      <x:c r="K90" s="24" t="str">
        <x:v>Update this row before building the React detail panel.</x:v>
      </x:c>
    </x:row>
    <x:row r="91">
      <x:c r="A91" s="23" t="str">
        <x:v>shipping_customer_delivery</x:v>
      </x:c>
      <x:c r="B91" s="174" t="str">
        <x:v>R</x:v>
      </x:c>
      <x:c r="C91" s="174" t="str">
        <x:v>Shipping &amp; Customer Delivery</x:v>
      </x:c>
      <x:c r="D91" s="174" t="str">
        <x:v>Future/PPS Integration</x:v>
      </x:c>
      <x:c r="E91" s="174" t="str">
        <x:v>PLACEHOLDER - enter software package</x:v>
      </x:c>
      <x:c r="F91" s="174" t="str">
        <x:v>Future / Planned</x:v>
      </x:c>
      <x:c r="G91" s="174" t="str">
        <x:v>PLACEHOLDER - owner</x:v>
      </x:c>
      <x:c r="H91" s="174" t="str">
        <x:v>PLACEHOLDER - integration direction</x:v>
      </x:c>
      <x:c r="I91" s="174" t="str">
        <x:v>PLACEHOLDER - key records/data objects</x:v>
      </x:c>
      <x:c r="J91" s="174" t="str">
        <x:v>future_pps_integration</x:v>
      </x:c>
      <x:c r="K91" s="24" t="str">
        <x:v>Update this row before building the React detail panel.</x:v>
      </x:c>
    </x:row>
  </x:sheetData>
  <x:dataValidations count="1">
    <x:dataValidation type="list" sqref="D2:D91">
      <x:formula1>"ERP/MRP System,Department Software,Spreadsheet/Tracker,AI/Automation,Future/PPS Integration"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bfe9dd216c40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34" hidden="0" customWidth="1"/>
    <x:col min="4" max="4" width="40" hidden="0" customWidth="1"/>
    <x:col min="5" max="5" width="52" hidden="0" customWidth="1"/>
  </x:cols>
  <x:sheetData>
    <x:row r="1">
      <x:c r="A1" s="34" t="str">
        <x:v>React Flow Import Mapping</x:v>
      </x:c>
    </x:row>
    <x:row r="3">
      <x:c r="A3" s="11" t="str">
        <x:v>source_sheet</x:v>
      </x:c>
      <x:c r="B3" s="11" t="str">
        <x:v>excel_column</x:v>
      </x:c>
      <x:c r="C3" s="11" t="str">
        <x:v>react_field</x:v>
      </x:c>
      <x:c r="D3" s="11" t="str">
        <x:v>use</x:v>
      </x:c>
      <x:c r="E3" s="11" t="str">
        <x:v>notes</x:v>
      </x:c>
    </x:row>
    <x:row r="4">
      <x:c r="A4" s="21" t="str">
        <x:v>Flowchart Nodes</x:v>
      </x:c>
      <x:c r="B4" s="173" t="str">
        <x:v>node_id</x:v>
      </x:c>
      <x:c r="C4" s="173" t="str">
        <x:v>id</x:v>
      </x:c>
      <x:c r="D4" s="173" t="str">
        <x:v>nodes[].id</x:v>
      </x:c>
      <x:c r="E4" s="22" t="str">
        <x:v>Stable React node id. Use this in edge source/target.</x:v>
      </x:c>
    </x:row>
    <x:row r="5">
      <x:c r="A5" s="23" t="str">
        <x:v>Flowchart Nodes</x:v>
      </x:c>
      <x:c r="B5" s="174" t="str">
        <x:v>label</x:v>
      </x:c>
      <x:c r="C5" s="174" t="str">
        <x:v>data.label</x:v>
      </x:c>
      <x:c r="D5" s="174" t="str">
        <x:v>nodes[].data.label</x:v>
      </x:c>
      <x:c r="E5" s="24" t="str">
        <x:v>Primary visible node label.</x:v>
      </x:c>
    </x:row>
    <x:row r="6">
      <x:c r="A6" s="23" t="str">
        <x:v>Flowchart Nodes</x:v>
      </x:c>
      <x:c r="B6" s="174" t="str">
        <x:v>lane</x:v>
      </x:c>
      <x:c r="C6" s="174" t="str">
        <x:v>data.lane</x:v>
      </x:c>
      <x:c r="D6" s="174" t="str">
        <x:v>nodes[].data.lane</x:v>
      </x:c>
      <x:c r="E6" s="24" t="str">
        <x:v>Use for lane grouping, filters, and swimlane labels.</x:v>
      </x:c>
    </x:row>
    <x:row r="7">
      <x:c r="A7" s="23" t="str">
        <x:v>Flowchart Nodes</x:v>
      </x:c>
      <x:c r="B7" s="174" t="str">
        <x:v>flowchart_key</x:v>
      </x:c>
      <x:c r="C7" s="174" t="str">
        <x:v>data.flowchartKey</x:v>
      </x:c>
      <x:c r="D7" s="174" t="str">
        <x:v>nodes[].data.flowchartKey</x:v>
      </x:c>
      <x:c r="E7" s="24" t="str">
        <x:v>Matches Mermaid A-R keys.</x:v>
      </x:c>
    </x:row>
    <x:row r="8">
      <x:c r="A8" s="23" t="str">
        <x:v>Flowchart Nodes</x:v>
      </x:c>
      <x:c r="B8" s="174" t="str">
        <x:v>react_node_type</x:v>
      </x:c>
      <x:c r="C8" s="174" t="str">
        <x:v>type</x:v>
      </x:c>
      <x:c r="D8" s="174" t="str">
        <x:v>nodes[].type</x:v>
      </x:c>
      <x:c r="E8" s="24" t="str">
        <x:v>Maps to your custom React Flow node components.</x:v>
      </x:c>
    </x:row>
    <x:row r="9">
      <x:c r="A9" s="23" t="str">
        <x:v>Flowchart Nodes</x:v>
      </x:c>
      <x:c r="B9" s="174" t="str">
        <x:v>x</x:v>
      </x:c>
      <x:c r="C9" s="174" t="str">
        <x:v>position.x</x:v>
      </x:c>
      <x:c r="D9" s="174" t="str">
        <x:v>nodes[].position.x</x:v>
      </x:c>
      <x:c r="E9" s="24" t="str">
        <x:v>Initial horizontal layout position.</x:v>
      </x:c>
    </x:row>
    <x:row r="10">
      <x:c r="A10" s="23" t="str">
        <x:v>Flowchart Nodes</x:v>
      </x:c>
      <x:c r="B10" s="174" t="str">
        <x:v>y</x:v>
      </x:c>
      <x:c r="C10" s="174" t="str">
        <x:v>position.y</x:v>
      </x:c>
      <x:c r="D10" s="174" t="str">
        <x:v>nodes[].position.y</x:v>
      </x:c>
      <x:c r="E10" s="24" t="str">
        <x:v>Initial vertical layout position.</x:v>
      </x:c>
    </x:row>
    <x:row r="11">
      <x:c r="A11" s="23" t="str">
        <x:v>Flowchart Nodes</x:v>
      </x:c>
      <x:c r="B11" s="174" t="str">
        <x:v>width</x:v>
      </x:c>
      <x:c r="C11" s="174" t="str">
        <x:v>style.width</x:v>
      </x:c>
      <x:c r="D11" s="174" t="str">
        <x:v>nodes[].style.width</x:v>
      </x:c>
      <x:c r="E11" s="24" t="str">
        <x:v>Optional node width.</x:v>
      </x:c>
    </x:row>
    <x:row r="12">
      <x:c r="A12" s="23" t="str">
        <x:v>Flowchart Nodes</x:v>
      </x:c>
      <x:c r="B12" s="174" t="str">
        <x:v>height</x:v>
      </x:c>
      <x:c r="C12" s="174" t="str">
        <x:v>style.height</x:v>
      </x:c>
      <x:c r="D12" s="174" t="str">
        <x:v>nodes[].style.height</x:v>
      </x:c>
      <x:c r="E12" s="24" t="str">
        <x:v>Optional node height.</x:v>
      </x:c>
    </x:row>
    <x:row r="13">
      <x:c r="A13" s="23" t="str">
        <x:v>Flowchart Nodes</x:v>
      </x:c>
      <x:c r="B13" s="174" t="str">
        <x:v>fill_color</x:v>
      </x:c>
      <x:c r="C13" s="174" t="str">
        <x:v>style.background</x:v>
      </x:c>
      <x:c r="D13" s="174" t="str">
        <x:v>nodes[].style.background</x:v>
      </x:c>
      <x:c r="E13" s="24" t="str">
        <x:v>Initial node fill color.</x:v>
      </x:c>
    </x:row>
    <x:row r="14">
      <x:c r="A14" s="23" t="str">
        <x:v>Flowchart Nodes</x:v>
      </x:c>
      <x:c r="B14" s="174" t="str">
        <x:v>border_color</x:v>
      </x:c>
      <x:c r="C14" s="174" t="str">
        <x:v>style.borderColor</x:v>
      </x:c>
      <x:c r="D14" s="174" t="str">
        <x:v>nodes[].style.borderColor</x:v>
      </x:c>
      <x:c r="E14" s="24" t="str">
        <x:v>Initial node border color.</x:v>
      </x:c>
    </x:row>
    <x:row r="15">
      <x:c r="A15" s="23" t="str">
        <x:v>Flowchart Edges</x:v>
      </x:c>
      <x:c r="B15" s="174" t="str">
        <x:v>edge_id</x:v>
      </x:c>
      <x:c r="C15" s="174" t="str">
        <x:v>id</x:v>
      </x:c>
      <x:c r="D15" s="174" t="str">
        <x:v>edges[].id</x:v>
      </x:c>
      <x:c r="E15" s="24" t="str">
        <x:v>Stable React edge id.</x:v>
      </x:c>
    </x:row>
    <x:row r="16">
      <x:c r="A16" s="23" t="str">
        <x:v>Flowchart Edges</x:v>
      </x:c>
      <x:c r="B16" s="174" t="str">
        <x:v>source_node_id</x:v>
      </x:c>
      <x:c r="C16" s="174" t="str">
        <x:v>source</x:v>
      </x:c>
      <x:c r="D16" s="174" t="str">
        <x:v>edges[].source</x:v>
      </x:c>
      <x:c r="E16" s="24" t="str">
        <x:v>Must match Flowchart Nodes node_id.</x:v>
      </x:c>
    </x:row>
    <x:row r="17">
      <x:c r="A17" s="23" t="str">
        <x:v>Flowchart Edges</x:v>
      </x:c>
      <x:c r="B17" s="174" t="str">
        <x:v>target_node_id</x:v>
      </x:c>
      <x:c r="C17" s="174" t="str">
        <x:v>target</x:v>
      </x:c>
      <x:c r="D17" s="174" t="str">
        <x:v>edges[].target</x:v>
      </x:c>
      <x:c r="E17" s="24" t="str">
        <x:v>Must match Flowchart Nodes node_id.</x:v>
      </x:c>
    </x:row>
    <x:row r="18">
      <x:c r="A18" s="23" t="str">
        <x:v>Flowchart Edges</x:v>
      </x:c>
      <x:c r="B18" s="174" t="str">
        <x:v>edge_type</x:v>
      </x:c>
      <x:c r="C18" s="174" t="str">
        <x:v>type</x:v>
      </x:c>
      <x:c r="D18" s="174" t="str">
        <x:v>edges[].type</x:v>
      </x:c>
      <x:c r="E18" s="24" t="str">
        <x:v>Recommended React Flow edge type.</x:v>
      </x:c>
    </x:row>
    <x:row r="19">
      <x:c r="A19" s="23" t="str">
        <x:v>Flowchart Edges</x:v>
      </x:c>
      <x:c r="B19" s="174" t="str">
        <x:v>label</x:v>
      </x:c>
      <x:c r="C19" s="174" t="str">
        <x:v>label</x:v>
      </x:c>
      <x:c r="D19" s="174" t="str">
        <x:v>edges[].label</x:v>
      </x:c>
      <x:c r="E19" s="24" t="str">
        <x:v>Optional edge label for branch releases.</x:v>
      </x:c>
    </x:row>
    <x:row r="20">
      <x:c r="A20" s="23" t="str">
        <x:v>Process Software</x:v>
      </x:c>
      <x:c r="B20" s="174" t="str">
        <x:v>node_id</x:v>
      </x:c>
      <x:c r="C20" s="174" t="str">
        <x:v>join key</x:v>
      </x:c>
      <x:c r="D20" s="174" t="str">
        <x:v>data.software[]</x:v>
      </x:c>
      <x:c r="E20" s="24" t="str">
        <x:v>Join software rows to nodes by node_id for details panel.</x:v>
      </x:c>
    </x:row>
    <x:row r="23">
      <x:c r="A23" s="11" t="str">
        <x:v>Suggested React data shape</x:v>
      </x:c>
      <x:c r="B23" s="11"/>
      <x:c r="C23" s="11"/>
      <x:c r="D23" s="11"/>
      <x:c r="E23" s="11"/>
    </x:row>
    <x:row r="24">
      <x:c r="A24" s="32" t="str">
        <x:v>nodes = Flowchart Nodes rows mapped to { id, type, position: { x, y }, data: { label, lane, flowchartKey, inputs, outputs }, style: { width, height, background, borderColor } }. edges = Flowchart Edges rows mapped to { id, source, target, type, label, animated, style: { stroke } }. Join Process Software on node_id for detail panels.</x:v>
      </x:c>
    </x:row>
  </x:sheetData>
  <x:mergeCells>
    <x:mergeCell ref="A1:E1"/>
    <x:mergeCell ref="A23:E23"/>
    <x:mergeCell ref="A24:E32"/>
  </x:mergeCells>
  <x:pageMargins left="0.7" right="0.7" top="0.75" bottom="0.75" header="0.3" footer="0.3"/>
  <x:tableParts count="1">
    <x:tablePart xmlns:r="http://schemas.openxmlformats.org/officeDocument/2006/relationships" r:id="R196e62ae97a442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2" hidden="0" customWidth="1"/>
  </x:cols>
  <x:sheetData>
    <x:row r="1">
      <x:c r="A1" s="11" t="str">
        <x:v>line</x:v>
      </x:c>
      <x:c r="B1" s="11" t="str">
        <x:v>mermaid_code</x:v>
      </x:c>
    </x:row>
    <x:row r="2">
      <x:c r="A2" s="185" t="n">
        <x:v>1</x:v>
      </x:c>
      <x:c r="B2" s="22" t="str">
        <x:v>flowchart TD</x:v>
      </x:c>
    </x:row>
    <x:row r="3">
      <x:c r="A3" s="186" t="n">
        <x:v>2</x:v>
      </x:c>
      <x:c r="B3" s="24" t="str">
        <x:v>    A["Sales &amp; Customer Opportunities"] --&gt; B["Estimating &amp; Quoting"]</x:v>
      </x:c>
    </x:row>
    <x:row r="4">
      <x:c r="A4" s="186" t="n">
        <x:v>3</x:v>
      </x:c>
      <x:c r="B4" s="24" t="str">
        <x:v>    B --&gt; C["Order Review &amp; Processing"]</x:v>
      </x:c>
    </x:row>
    <x:row r="5">
      <x:c r="A5" s="186" t="n">
        <x:v>4</x:v>
      </x:c>
      <x:c r="B5" s="24" t="str">
        <x:v>    C --&gt; D["Engineering &amp; Production Planning"]</x:v>
      </x:c>
    </x:row>
    <x:row r="6">
      <x:c r="A6" s="186" t="n">
        <x:v>5</x:v>
      </x:c>
      <x:c r="B6" s="24" t="str">
        <x:v>    D --&gt; E["Purchasing &amp; Supplier Management"]</x:v>
      </x:c>
    </x:row>
    <x:row r="7">
      <x:c r="A7" s="186" t="n">
        <x:v>6</x:v>
      </x:c>
      <x:c r="B7" s="24" t="str">
        <x:v>    E --&gt; F["Receiving &amp; Material Control"]</x:v>
      </x:c>
    </x:row>
    <x:row r="8">
      <x:c r="A8" s="186" t="n">
        <x:v>7</x:v>
      </x:c>
      <x:c r="B8" s="24" t="str">
        <x:v>    F --&gt; G["Project Management"]</x:v>
      </x:c>
    </x:row>
    <x:row r="9">
      <x:c r="A9" s="186" t="n">
        <x:v>8</x:v>
      </x:c>
      <x:c r="B9" s="24" t="str"/>
    </x:row>
    <x:row r="10">
      <x:c r="A10" s="186" t="n">
        <x:v>9</x:v>
      </x:c>
      <x:c r="B10" s="24" t="str">
        <x:v>    G --&gt; H["Laser &amp; Waterjet"]</x:v>
      </x:c>
    </x:row>
    <x:row r="11">
      <x:c r="A11" s="186" t="n">
        <x:v>10</x:v>
      </x:c>
      <x:c r="B11" s="24" t="str">
        <x:v>    G --&gt; I["Bending"]</x:v>
      </x:c>
    </x:row>
    <x:row r="12">
      <x:c r="A12" s="186" t="n">
        <x:v>11</x:v>
      </x:c>
      <x:c r="B12" s="24" t="str">
        <x:v>    G --&gt; J["Machining"]</x:v>
      </x:c>
    </x:row>
    <x:row r="13">
      <x:c r="A13" s="186" t="n">
        <x:v>12</x:v>
      </x:c>
      <x:c r="B13" s="24" t="str">
        <x:v>    G --&gt; K["Welding"]</x:v>
      </x:c>
    </x:row>
    <x:row r="14">
      <x:c r="A14" s="186" t="n">
        <x:v>13</x:v>
      </x:c>
      <x:c r="B14" s="24" t="str"/>
    </x:row>
    <x:row r="15">
      <x:c r="A15" s="186" t="n">
        <x:v>14</x:v>
      </x:c>
      <x:c r="B15" s="24" t="str">
        <x:v>    H --&gt; L["Grinding &amp; Finishing"]</x:v>
      </x:c>
    </x:row>
    <x:row r="16">
      <x:c r="A16" s="186" t="n">
        <x:v>15</x:v>
      </x:c>
      <x:c r="B16" s="24" t="str">
        <x:v>    I --&gt; L</x:v>
      </x:c>
    </x:row>
    <x:row r="17">
      <x:c r="A17" s="186" t="n">
        <x:v>16</x:v>
      </x:c>
      <x:c r="B17" s="24" t="str">
        <x:v>    J --&gt; L</x:v>
      </x:c>
    </x:row>
    <x:row r="18">
      <x:c r="A18" s="186" t="n">
        <x:v>17</x:v>
      </x:c>
      <x:c r="B18" s="24" t="str">
        <x:v>    K --&gt; L</x:v>
      </x:c>
    </x:row>
    <x:row r="19">
      <x:c r="A19" s="186" t="n">
        <x:v>18</x:v>
      </x:c>
      <x:c r="B19" s="24" t="str"/>
    </x:row>
    <x:row r="20">
      <x:c r="A20" s="186" t="n">
        <x:v>19</x:v>
      </x:c>
      <x:c r="B20" s="24" t="str">
        <x:v>    L --&gt; M["Coatings"]</x:v>
      </x:c>
    </x:row>
    <x:row r="21">
      <x:c r="A21" s="186" t="n">
        <x:v>20</x:v>
      </x:c>
      <x:c r="B21" s="24" t="str">
        <x:v>    M --&gt; N["Marking"]</x:v>
      </x:c>
    </x:row>
    <x:row r="22">
      <x:c r="A22" s="186" t="n">
        <x:v>21</x:v>
      </x:c>
      <x:c r="B22" s="24" t="str">
        <x:v>    N --&gt; O["Assembly"]</x:v>
      </x:c>
    </x:row>
    <x:row r="23">
      <x:c r="A23" s="186" t="n">
        <x:v>22</x:v>
      </x:c>
      <x:c r="B23" s="24" t="str">
        <x:v>    O --&gt; P["Testing"]</x:v>
      </x:c>
    </x:row>
    <x:row r="24">
      <x:c r="A24" s="186" t="n">
        <x:v>23</x:v>
      </x:c>
      <x:c r="B24" s="24" t="str">
        <x:v>    P --&gt; Q["Final Quality Assurance"]</x:v>
      </x:c>
    </x:row>
    <x:row r="25">
      <x:c r="A25" s="186" t="n">
        <x:v>24</x:v>
      </x:c>
      <x:c r="B25" s="24" t="str">
        <x:v>    Q --&gt; R["Shipping &amp; Customer Delivery"]</x:v>
      </x:c>
    </x:row>
  </x:sheetData>
  <x:pageMargins left="0.7" right="0.7" top="0.75" bottom="0.75" header="0.3" footer="0.3"/>
  <x:tableParts count="1">
    <x:tablePart xmlns:r="http://schemas.openxmlformats.org/officeDocument/2006/relationships" r:id="R1d101d1ff31345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0" hidden="0" customWidth="1"/>
    <x:col min="4" max="4" width="24" hidden="0" customWidth="1"/>
    <x:col min="5" max="5" width="18" hidden="0" customWidth="1"/>
    <x:col min="6" max="6" width="28" hidden="0" customWidth="1"/>
    <x:col min="7" max="7" width="30" hidden="0" customWidth="1"/>
  </x:cols>
  <x:sheetData>
    <x:row r="1">
      <x:c r="A1" s="11" t="str">
        <x:v>lanes</x:v>
      </x:c>
      <x:c r="B1" s="11" t="str">
        <x:v>statuses</x:v>
      </x:c>
      <x:c r="C1" s="11" t="str">
        <x:v>node_roles</x:v>
      </x:c>
      <x:c r="D1" s="11" t="str">
        <x:v>react_node_types</x:v>
      </x:c>
      <x:c r="E1" s="11" t="str">
        <x:v>edge_types</x:v>
      </x:c>
      <x:c r="F1" s="11" t="str">
        <x:v>software_categories</x:v>
      </x:c>
      <x:c r="G1" s="11" t="str">
        <x:v>objectives</x:v>
      </x:c>
    </x:row>
    <x:row r="2">
      <x:c r="A2" s="21" t="str">
        <x:v>Sales &amp; Quoting</x:v>
      </x:c>
      <x:c r="B2" s="173" t="str">
        <x:v>Current State</x:v>
      </x:c>
      <x:c r="C2" s="173" t="str">
        <x:v>Input</x:v>
      </x:c>
      <x:c r="D2" s="173" t="str">
        <x:v>inputNode</x:v>
      </x:c>
      <x:c r="E2" s="173" t="str">
        <x:v>smoothstep</x:v>
      </x:c>
      <x:c r="F2" s="173" t="str">
        <x:v>ERP/MRP System</x:v>
      </x:c>
      <x:c r="G2" s="22" t="str">
        <x:v>Time savings</x:v>
      </x:c>
    </x:row>
    <x:row r="3">
      <x:c r="A3" s="23" t="str">
        <x:v>Order Processing</x:v>
      </x:c>
      <x:c r="B3" s="174" t="str">
        <x:v>In Review</x:v>
      </x:c>
      <x:c r="C3" s="174" t="str">
        <x:v>Process</x:v>
      </x:c>
      <x:c r="D3" s="174" t="str">
        <x:v>processNode</x:v>
      </x:c>
      <x:c r="E3" s="174" t="str">
        <x:v>step</x:v>
      </x:c>
      <x:c r="F3" s="174" t="str">
        <x:v>Department Software</x:v>
      </x:c>
      <x:c r="G3" s="24" t="str">
        <x:v>Process improvement</x:v>
      </x:c>
    </x:row>
    <x:row r="4">
      <x:c r="A4" s="23" t="str">
        <x:v>Engineering &amp; Planning</x:v>
      </x:c>
      <x:c r="B4" s="174" t="str">
        <x:v>Active Project</x:v>
      </x:c>
      <x:c r="C4" s="174" t="str">
        <x:v>Control</x:v>
      </x:c>
      <x:c r="D4" s="174" t="str">
        <x:v>controlNode</x:v>
      </x:c>
      <x:c r="E4" s="174" t="str">
        <x:v>default</x:v>
      </x:c>
      <x:c r="F4" s="174" t="str">
        <x:v>Spreadsheet/Tracker</x:v>
      </x:c>
      <x:c r="G4" s="24" t="str">
        <x:v>Product quality</x:v>
      </x:c>
    </x:row>
    <x:row r="5">
      <x:c r="A5" s="23" t="str">
        <x:v>Supply Chain</x:v>
      </x:c>
      <x:c r="B5" s="174" t="str">
        <x:v>Future Opportunity</x:v>
      </x:c>
      <x:c r="C5" s="174" t="str">
        <x:v>Work Center</x:v>
      </x:c>
      <x:c r="D5" s="174" t="str">
        <x:v>manufacturingNode</x:v>
      </x:c>
      <x:c r="E5" s="174" t="str"/>
      <x:c r="F5" s="174" t="str">
        <x:v>AI/Automation</x:v>
      </x:c>
      <x:c r="G5" s="24" t="str">
        <x:v>Individual skill enhancement</x:v>
      </x:c>
    </x:row>
    <x:row r="6">
      <x:c r="A6" s="23" t="str">
        <x:v>Project Management</x:v>
      </x:c>
      <x:c r="B6" s="174" t="str">
        <x:v>Not Started</x:v>
      </x:c>
      <x:c r="C6" s="174" t="str">
        <x:v>Convergence</x:v>
      </x:c>
      <x:c r="D6" s="174" t="str">
        <x:v>qualityGateNode</x:v>
      </x:c>
      <x:c r="E6" s="174" t="str"/>
      <x:c r="F6" s="174" t="str">
        <x:v>Future/PPS Integration</x:v>
      </x:c>
      <x:c r="G6" s="24" t="str"/>
    </x:row>
    <x:row r="7">
      <x:c r="A7" s="23" t="str">
        <x:v>Manufacturing</x:v>
      </x:c>
      <x:c r="B7" s="174" t="str"/>
      <x:c r="C7" s="174" t="str">
        <x:v>Quality Gate</x:v>
      </x:c>
      <x:c r="D7" s="174" t="str">
        <x:v>outputNode</x:v>
      </x:c>
      <x:c r="E7" s="174" t="str"/>
      <x:c r="F7" s="174" t="str"/>
      <x:c r="G7" s="24" t="str"/>
    </x:row>
    <x:row r="8">
      <x:c r="A8" s="23" t="str">
        <x:v>Finishing &amp; Special Processes</x:v>
      </x:c>
      <x:c r="B8" s="174" t="str"/>
      <x:c r="C8" s="174" t="str">
        <x:v>Output</x:v>
      </x:c>
      <x:c r="D8" s="174" t="str"/>
      <x:c r="E8" s="174" t="str"/>
      <x:c r="F8" s="174" t="str"/>
      <x:c r="G8" s="24" t="str"/>
    </x:row>
    <x:row r="9">
      <x:c r="A9" s="23" t="str">
        <x:v>Assembly &amp; Test</x:v>
      </x:c>
      <x:c r="B9" s="174" t="str"/>
      <x:c r="C9" s="174" t="str"/>
      <x:c r="D9" s="174" t="str"/>
      <x:c r="E9" s="174" t="str"/>
      <x:c r="F9" s="174" t="str"/>
      <x:c r="G9" s="24" t="str"/>
    </x:row>
    <x:row r="10">
      <x:c r="A10" s="23" t="str">
        <x:v>Quality Assurance</x:v>
      </x:c>
      <x:c r="B10" s="174" t="str"/>
      <x:c r="C10" s="174" t="str"/>
      <x:c r="D10" s="174" t="str"/>
      <x:c r="E10" s="174" t="str"/>
      <x:c r="F10" s="174" t="str"/>
      <x:c r="G10" s="24" t="str"/>
    </x:row>
    <x:row r="11">
      <x:c r="A11" s="23" t="str">
        <x:v>Shipping</x:v>
      </x:c>
      <x:c r="B11" s="174" t="str"/>
      <x:c r="C11" s="174" t="str"/>
      <x:c r="D11" s="174" t="str"/>
      <x:c r="E11" s="174" t="str"/>
      <x:c r="F11" s="174" t="str"/>
      <x:c r="G11" s="24" t="str"/>
    </x:row>
  </x:sheetData>
  <x:pageMargins left="0.7" right="0.7" top="0.75" bottom="0.75" header="0.3" footer="0.3"/>
  <x:tableParts count="1">
    <x:tablePart xmlns:r="http://schemas.openxmlformats.org/officeDocument/2006/relationships" r:id="Rabda02ea627d49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14" hidden="0" customWidth="1"/>
    <x:col min="5" max="5" width="70" hidden="0" customWidth="1"/>
  </x:cols>
  <x:sheetData>
    <x:row r="1">
      <x:c r="A1" s="11" t="str">
        <x:v>sheet</x:v>
      </x:c>
      <x:c r="B1" s="11" t="str">
        <x:v>field_or_section</x:v>
      </x:c>
      <x:c r="C1" s="11" t="str">
        <x:v>type</x:v>
      </x:c>
      <x:c r="D1" s="11" t="str">
        <x:v>required</x:v>
      </x:c>
      <x:c r="E1" s="11" t="str">
        <x:v>description</x:v>
      </x:c>
    </x:row>
    <x:row r="2">
      <x:c r="A2" s="21" t="str">
        <x:v>Overview</x:v>
      </x:c>
      <x:c r="B2" s="173" t="str">
        <x:v>Metrics</x:v>
      </x:c>
      <x:c r="C2" s="173" t="str">
        <x:v>Formula</x:v>
      </x:c>
      <x:c r="D2" s="173" t="str">
        <x:v>No</x:v>
      </x:c>
      <x:c r="E2" s="22" t="str">
        <x:v>Dashboard checks for node, edge, process, and software placeholder counts.</x:v>
      </x:c>
    </x:row>
    <x:row r="3">
      <x:c r="A3" s="23" t="str">
        <x:v>Flowchart View</x:v>
      </x:c>
      <x:c r="B3" s="174" t="str">
        <x:v>Visual Blueprint</x:v>
      </x:c>
      <x:c r="C3" s="174" t="str">
        <x:v>Reference</x:v>
      </x:c>
      <x:c r="D3" s="174" t="str">
        <x:v>No</x:v>
      </x:c>
      <x:c r="E3" s="24" t="str">
        <x:v>Human-readable sketch of the shop flow matching the node and edge tables.</x:v>
      </x:c>
    </x:row>
    <x:row r="4">
      <x:c r="A4" s="23" t="str">
        <x:v>Flowchart Nodes</x:v>
      </x:c>
      <x:c r="B4" s="174" t="str">
        <x:v>flowchart_key</x:v>
      </x:c>
      <x:c r="C4" s="174" t="str">
        <x:v>Text</x:v>
      </x:c>
      <x:c r="D4" s="174" t="str">
        <x:v>Yes</x:v>
      </x:c>
      <x:c r="E4" s="24" t="str">
        <x:v>Original Mermaid flowchart key from A through R.</x:v>
      </x:c>
    </x:row>
    <x:row r="5">
      <x:c r="A5" s="23" t="str">
        <x:v>Flowchart Nodes</x:v>
      </x:c>
      <x:c r="B5" s="174" t="str">
        <x:v>node_id</x:v>
      </x:c>
      <x:c r="C5" s="174" t="str">
        <x:v>Text</x:v>
      </x:c>
      <x:c r="D5" s="174" t="str">
        <x:v>Yes</x:v>
      </x:c>
      <x:c r="E5" s="24" t="str">
        <x:v>Stable React node identifier used by edges.</x:v>
      </x:c>
    </x:row>
    <x:row r="6">
      <x:c r="A6" s="23" t="str">
        <x:v>Flowchart Nodes</x:v>
      </x:c>
      <x:c r="B6" s="174" t="str">
        <x:v>x/y</x:v>
      </x:c>
      <x:c r="C6" s="174" t="str">
        <x:v>Number</x:v>
      </x:c>
      <x:c r="D6" s="174" t="str">
        <x:v>Yes</x:v>
      </x:c>
      <x:c r="E6" s="24" t="str">
        <x:v>Initial React Flow node position.</x:v>
      </x:c>
    </x:row>
    <x:row r="7">
      <x:c r="A7" s="23" t="str">
        <x:v>Flowchart Nodes</x:v>
      </x:c>
      <x:c r="B7" s="174" t="str">
        <x:v>fill_color/border_color</x:v>
      </x:c>
      <x:c r="C7" s="174" t="str">
        <x:v>Text</x:v>
      </x:c>
      <x:c r="D7" s="174" t="str">
        <x:v>No</x:v>
      </x:c>
      <x:c r="E7" s="24" t="str">
        <x:v>Hex colors for initial React node styling.</x:v>
      </x:c>
    </x:row>
    <x:row r="8">
      <x:c r="A8" s="23" t="str">
        <x:v>Flowchart Edges</x:v>
      </x:c>
      <x:c r="B8" s="174" t="str">
        <x:v>source_node_id/target_node_id</x:v>
      </x:c>
      <x:c r="C8" s="174" t="str">
        <x:v>Text</x:v>
      </x:c>
      <x:c r="D8" s="174" t="str">
        <x:v>Yes</x:v>
      </x:c>
      <x:c r="E8" s="24" t="str">
        <x:v>React Flow edge endpoints. Must match Flowchart Nodes node_id values.</x:v>
      </x:c>
    </x:row>
    <x:row r="9">
      <x:c r="A9" s="23" t="str">
        <x:v>Process Register</x:v>
      </x:c>
      <x:c r="B9" s="174" t="str">
        <x:v>owner_placeholder</x:v>
      </x:c>
      <x:c r="C9" s="174" t="str">
        <x:v>Text</x:v>
      </x:c>
      <x:c r="D9" s="174" t="str">
        <x:v>No</x:v>
      </x:c>
      <x:c r="E9" s="24" t="str">
        <x:v>Enter the responsible Tabet process owner during validation.</x:v>
      </x:c>
    </x:row>
    <x:row r="10">
      <x:c r="A10" s="23" t="str">
        <x:v>Process Register</x:v>
      </x:c>
      <x:c r="B10" s="174" t="str">
        <x:v>current_software_placeholder</x:v>
      </x:c>
      <x:c r="C10" s="174" t="str">
        <x:v>Text</x:v>
      </x:c>
      <x:c r="D10" s="174" t="str">
        <x:v>No</x:v>
      </x:c>
      <x:c r="E10" s="24" t="str">
        <x:v>Enter current software packages or tools used by the process.</x:v>
      </x:c>
    </x:row>
    <x:row r="11">
      <x:c r="A11" s="23" t="str">
        <x:v>Process Software</x:v>
      </x:c>
      <x:c r="B11" s="174" t="str">
        <x:v>software_category</x:v>
      </x:c>
      <x:c r="C11" s="174" t="str">
        <x:v>List</x:v>
      </x:c>
      <x:c r="D11" s="174" t="str">
        <x:v>Yes</x:v>
      </x:c>
      <x:c r="E11" s="24" t="str">
        <x:v>Repeatable software inventory rows per process for detail panels.</x:v>
      </x:c>
    </x:row>
    <x:row r="12">
      <x:c r="A12" s="23" t="str">
        <x:v>React Import Map</x:v>
      </x:c>
      <x:c r="B12" s="174" t="str">
        <x:v>react_field</x:v>
      </x:c>
      <x:c r="C12" s="174" t="str">
        <x:v>Text</x:v>
      </x:c>
      <x:c r="D12" s="174" t="str">
        <x:v>No</x:v>
      </x:c>
      <x:c r="E12" s="24" t="str">
        <x:v>Suggested object path for loading workbook data into React Flow.</x:v>
      </x:c>
    </x:row>
    <x:row r="13">
      <x:c r="A13" s="23" t="str">
        <x:v>Mermaid Reference</x:v>
      </x:c>
      <x:c r="B13" s="174" t="str">
        <x:v>mermaid_code</x:v>
      </x:c>
      <x:c r="C13" s="174" t="str">
        <x:v>Text</x:v>
      </x:c>
      <x:c r="D13" s="174" t="str">
        <x:v>No</x:v>
      </x:c>
      <x:c r="E13" s="24" t="str">
        <x:v>Exact Mermaid definition of the referenced flowchart.</x:v>
      </x:c>
    </x:row>
    <x:row r="14">
      <x:c r="A14" s="23" t="str">
        <x:v>Lists</x:v>
      </x:c>
      <x:c r="B14" s="174" t="str">
        <x:v>Controlled lists</x:v>
      </x:c>
      <x:c r="C14" s="174" t="str">
        <x:v>List</x:v>
      </x:c>
      <x:c r="D14" s="174" t="str">
        <x:v>No</x:v>
      </x:c>
      <x:c r="E14" s="24" t="str">
        <x:v>Editable list values for validation and consistent terminology.</x:v>
      </x:c>
    </x:row>
  </x:sheetData>
  <x:pageMargins left="0.7" right="0.7" top="0.75" bottom="0.75" header="0.3" footer="0.3"/>
  <x:tableParts count="1">
    <x:tablePart xmlns:r="http://schemas.openxmlformats.org/officeDocument/2006/relationships" r:id="R8571a97687914ce7"/>
  </x:tableParts>
</x:worksheet>
</file>