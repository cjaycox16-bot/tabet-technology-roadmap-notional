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39920ba7f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12d3651d7f842ba"/>
    <x:sheet xmlns:r="http://schemas.openxmlformats.org/officeDocument/2006/relationships" name="Flowchart View" sheetId="2" r:id="R910fabfbd6ec4c0a"/>
    <x:sheet xmlns:r="http://schemas.openxmlformats.org/officeDocument/2006/relationships" name="Flowchart Nodes" sheetId="3" r:id="Rba21934698ea432e"/>
    <x:sheet xmlns:r="http://schemas.openxmlformats.org/officeDocument/2006/relationships" name="Flowchart Edges" sheetId="4" r:id="Rbfc47b0a437c4503"/>
    <x:sheet xmlns:r="http://schemas.openxmlformats.org/officeDocument/2006/relationships" name="Process Register" sheetId="5" r:id="R59ff52402f9541c5"/>
    <x:sheet xmlns:r="http://schemas.openxmlformats.org/officeDocument/2006/relationships" name="Process Software" sheetId="6" r:id="Rfdd5625574d342d7"/>
    <x:sheet xmlns:r="http://schemas.openxmlformats.org/officeDocument/2006/relationships" name="System Connections" sheetId="7" r:id="Rb641b5fbaa7d44f9"/>
    <x:sheet xmlns:r="http://schemas.openxmlformats.org/officeDocument/2006/relationships" name="Shared Systems" sheetId="8" r:id="Rb1583d09aed34ee9"/>
    <x:sheet xmlns:r="http://schemas.openxmlformats.org/officeDocument/2006/relationships" name="Data Flow Edges" sheetId="9" r:id="Re25fa7b4c63e42b3"/>
    <x:sheet xmlns:r="http://schemas.openxmlformats.org/officeDocument/2006/relationships" name="React Import Map" sheetId="10" r:id="R4fb73c0ca5624cd4"/>
    <x:sheet xmlns:r="http://schemas.openxmlformats.org/officeDocument/2006/relationships" name="Mermaid Reference" sheetId="11" r:id="R340682d31da04011"/>
    <x:sheet xmlns:r="http://schemas.openxmlformats.org/officeDocument/2006/relationships" name="Lists" sheetId="12" r:id="Rdeb21367bbca4394"/>
    <x:sheet xmlns:r="http://schemas.openxmlformats.org/officeDocument/2006/relationships" name="Data Dictionary" sheetId="13" r:id="R5e3c5b823d7b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1"/>
      <x:color rgb="FF47556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FEDD5"/>
      </x:patternFill>
    </x:fill>
    <x:fill>
      <x:patternFill patternType="solid">
        <x:fgColor rgb="FFEDE9FE"/>
      </x:patternFill>
    </x:fill>
  </x:fills>
  <x:borders count="37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medium">
        <x:color rgb="FF2563EB"/>
      </x:left>
      <x:top style="medium">
        <x:color rgb="FF2563EB"/>
      </x:top>
    </x:border>
    <x:border>
      <x:top style="medium">
        <x:color rgb="FF2563EB"/>
      </x:top>
    </x:border>
    <x:border>
      <x:right style="medium">
        <x:color rgb="FF2563EB"/>
      </x:right>
      <x:top style="medium">
        <x:color rgb="FF2563EB"/>
      </x:top>
    </x:border>
    <x:border>
      <x:left style="medium">
        <x:color rgb="FF2563EB"/>
      </x:left>
      <x:bottom style="medium">
        <x:color rgb="FF2563EB"/>
      </x:bottom>
    </x:border>
    <x:border>
      <x:bottom style="medium">
        <x:color rgb="FF2563EB"/>
      </x:bottom>
    </x:border>
    <x:border>
      <x:right style="medium">
        <x:color rgb="FF2563EB"/>
      </x:right>
      <x:bottom style="medium">
        <x:color rgb="FF2563EB"/>
      </x:bottom>
    </x:border>
    <x:border>
      <x:left style="medium">
        <x:color rgb="FF047857"/>
      </x:left>
      <x:top style="medium">
        <x:color rgb="FF047857"/>
      </x:top>
    </x:border>
    <x:border>
      <x:top style="medium">
        <x:color rgb="FF047857"/>
      </x:top>
    </x:border>
    <x:border>
      <x:right style="medium">
        <x:color rgb="FF047857"/>
      </x:right>
      <x:top style="medium">
        <x:color rgb="FF047857"/>
      </x:top>
    </x:border>
    <x:border>
      <x:left style="medium">
        <x:color rgb="FF047857"/>
      </x:left>
      <x:bottom style="medium">
        <x:color rgb="FF047857"/>
      </x:bottom>
    </x:border>
    <x:border>
      <x:bottom style="medium">
        <x:color rgb="FF047857"/>
      </x:bottom>
    </x:border>
    <x:border>
      <x:right style="medium">
        <x:color rgb="FF047857"/>
      </x:right>
      <x:bottom style="medium">
        <x:color rgb="FF047857"/>
      </x:bottom>
    </x:border>
    <x:border>
      <x:left style="medium">
        <x:color rgb="FFEA580C"/>
      </x:left>
      <x:top style="medium">
        <x:color rgb="FFEA580C"/>
      </x:top>
    </x:border>
    <x:border>
      <x:top style="medium">
        <x:color rgb="FFEA580C"/>
      </x:top>
    </x:border>
    <x:border>
      <x:right style="medium">
        <x:color rgb="FFEA580C"/>
      </x:right>
      <x:top style="medium">
        <x:color rgb="FFEA580C"/>
      </x:top>
    </x:border>
    <x:border>
      <x:left style="medium">
        <x:color rgb="FFEA580C"/>
      </x:left>
      <x:bottom style="medium">
        <x:color rgb="FFEA580C"/>
      </x:bottom>
    </x:border>
    <x:border>
      <x:bottom style="medium">
        <x:color rgb="FFEA580C"/>
      </x:bottom>
    </x:border>
    <x:border>
      <x:right style="medium">
        <x:color rgb="FFEA580C"/>
      </x:right>
      <x:bottom style="medium">
        <x:color rgb="FFEA580C"/>
      </x:bottom>
    </x:border>
    <x:border>
      <x:left style="medium">
        <x:color rgb="FF6D28D9"/>
      </x:left>
      <x:top style="medium">
        <x:color rgb="FF6D28D9"/>
      </x:top>
    </x:border>
    <x:border>
      <x:top style="medium">
        <x:color rgb="FF6D28D9"/>
      </x:top>
    </x:border>
    <x:border>
      <x:right style="medium">
        <x:color rgb="FF6D28D9"/>
      </x:right>
      <x:top style="medium">
        <x:color rgb="FF6D28D9"/>
      </x:top>
    </x:border>
    <x:border>
      <x:left style="medium">
        <x:color rgb="FF6D28D9"/>
      </x:left>
      <x:bottom style="medium">
        <x:color rgb="FF6D28D9"/>
      </x:bottom>
    </x:border>
    <x:border>
      <x:bottom style="medium">
        <x:color rgb="FF6D28D9"/>
      </x:bottom>
    </x:border>
    <x:border>
      <x:right style="medium">
        <x:color rgb="FF6D28D9"/>
      </x:right>
      <x:bottom style="medium">
        <x:color rgb="FF6D28D9"/>
      </x:bottom>
    </x:border>
    <x:border>
      <x:left style="medium">
        <x:color rgb="FF475569"/>
      </x:left>
      <x:top style="medium">
        <x:color rgb="FF475569"/>
      </x:top>
    </x:border>
    <x:border>
      <x:top style="medium">
        <x:color rgb="FF475569"/>
      </x:top>
    </x:border>
    <x:border>
      <x:right style="medium">
        <x:color rgb="FF475569"/>
      </x:right>
      <x:top style="medium">
        <x:color rgb="FF475569"/>
      </x:top>
    </x:border>
    <x:border>
      <x:left style="medium">
        <x:color rgb="FF475569"/>
      </x:left>
      <x:bottom style="medium">
        <x:color rgb="FF475569"/>
      </x:bottom>
    </x:border>
    <x:border>
      <x:bottom style="medium">
        <x:color rgb="FF475569"/>
      </x:bottom>
    </x:border>
    <x:border>
      <x:right style="medium">
        <x:color rgb="FF475569"/>
      </x:right>
      <x:bottom style="medium">
        <x:color rgb="FF475569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6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7" xfId="0" applyNumberFormat="1" applyFont="1" applyFill="1" applyBorder="1"/>
    <x:xf numFmtId="0" fontId="5" fillId="7" borderId="18" xfId="0" applyNumberFormat="1" applyFont="1" applyFill="1" applyBorder="1"/>
    <x:xf numFmtId="0" fontId="5" fillId="7" borderId="19" xfId="0" applyNumberFormat="1" applyFont="1" applyFill="1" applyBorder="1"/>
    <x:xf numFmtId="0" fontId="5" fillId="7" borderId="20" xfId="0" applyNumberFormat="1" applyFont="1" applyFill="1" applyBorder="1"/>
    <x:xf numFmtId="0" fontId="5" fillId="7" borderId="21" xfId="0" applyNumberFormat="1" applyFont="1" applyFill="1" applyBorder="1"/>
    <x:xf numFmtId="0" fontId="5" fillId="7" borderId="22" xfId="0" applyNumberFormat="1" applyFont="1" applyFill="1" applyBorder="1"/>
    <x:xf numFmtId="0" fontId="5" fillId="7" borderId="17" xfId="0" applyNumberFormat="1" applyFont="1" applyFill="1" applyBorder="1" applyAlignment="1">
      <x:alignment wrapText="1"/>
    </x:xf>
    <x:xf numFmtId="0" fontId="5" fillId="7" borderId="18" xfId="0" applyNumberFormat="1" applyFont="1" applyFill="1" applyBorder="1" applyAlignment="1">
      <x:alignment wrapText="1"/>
    </x:xf>
    <x:xf numFmtId="0" fontId="5" fillId="7" borderId="19" xfId="0" applyNumberFormat="1" applyFont="1" applyFill="1" applyBorder="1" applyAlignment="1">
      <x:alignment wrapText="1"/>
    </x:xf>
    <x:xf numFmtId="0" fontId="5" fillId="7" borderId="20" xfId="0" applyNumberFormat="1" applyFont="1" applyFill="1" applyBorder="1" applyAlignment="1">
      <x:alignment wrapText="1"/>
    </x:xf>
    <x:xf numFmtId="0" fontId="5" fillId="7" borderId="21" xfId="0" applyNumberFormat="1" applyFont="1" applyFill="1" applyBorder="1" applyAlignment="1">
      <x:alignment wrapText="1"/>
    </x:xf>
    <x:xf numFmtId="0" fontId="5" fillId="7" borderId="22" xfId="0" applyNumberFormat="1" applyFont="1" applyFill="1" applyBorder="1" applyAlignment="1">
      <x:alignment wrapText="1"/>
    </x:xf>
    <x:xf numFmtId="0" fontId="5" fillId="7" borderId="17" xfId="0" applyNumberFormat="1" applyFont="1" applyFill="1" applyBorder="1" applyAlignment="1">
      <x:alignment horizontal="center" wrapText="1"/>
    </x:xf>
    <x:xf numFmtId="0" fontId="5" fillId="7" borderId="18" xfId="0" applyNumberFormat="1" applyFont="1" applyFill="1" applyBorder="1" applyAlignment="1">
      <x:alignment horizontal="center" wrapText="1"/>
    </x:xf>
    <x:xf numFmtId="0" fontId="5" fillId="7" borderId="19" xfId="0" applyNumberFormat="1" applyFont="1" applyFill="1" applyBorder="1" applyAlignment="1">
      <x:alignment horizontal="center" wrapText="1"/>
    </x:xf>
    <x:xf numFmtId="0" fontId="5" fillId="7" borderId="20" xfId="0" applyNumberFormat="1" applyFont="1" applyFill="1" applyBorder="1" applyAlignment="1">
      <x:alignment horizontal="center" wrapText="1"/>
    </x:xf>
    <x:xf numFmtId="0" fontId="5" fillId="7" borderId="21" xfId="0" applyNumberFormat="1" applyFont="1" applyFill="1" applyBorder="1" applyAlignment="1">
      <x:alignment horizontal="center" wrapText="1"/>
    </x:xf>
    <x:xf numFmtId="0" fontId="5" fillId="7" borderId="22" xfId="0" applyNumberFormat="1" applyFont="1" applyFill="1" applyBorder="1" applyAlignment="1">
      <x:alignment horizontal="center" wrapText="1"/>
    </x:xf>
    <x:xf numFmtId="0" fontId="5" fillId="7" borderId="17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horizontal="center" vertical="center" wrapText="1"/>
    </x:xf>
    <x:xf numFmtId="0" fontId="5" fillId="7" borderId="19" xfId="0" applyNumberFormat="1" applyFont="1" applyFill="1" applyBorder="1" applyAlignment="1">
      <x:alignment horizontal="center" vertical="center" wrapText="1"/>
    </x:xf>
    <x:xf numFmtId="0" fontId="5" fillId="7" borderId="20" xfId="0" applyNumberFormat="1" applyFont="1" applyFill="1" applyBorder="1" applyAlignment="1">
      <x:alignment horizontal="center" vertical="center" wrapText="1"/>
    </x:xf>
    <x:xf numFmtId="0" fontId="5" fillId="7" borderId="21" xfId="0" applyNumberFormat="1" applyFont="1" applyFill="1" applyBorder="1" applyAlignment="1">
      <x:alignment horizontal="center" vertical="center" wrapText="1"/>
    </x:xf>
    <x:xf numFmtId="0" fontId="5" fillId="7" borderId="2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3" xfId="0" applyNumberFormat="1" applyFont="1" applyFill="1" applyBorder="1"/>
    <x:xf numFmtId="0" fontId="5" fillId="8" borderId="24" xfId="0" applyNumberFormat="1" applyFont="1" applyFill="1" applyBorder="1"/>
    <x:xf numFmtId="0" fontId="5" fillId="8" borderId="25" xfId="0" applyNumberFormat="1" applyFont="1" applyFill="1" applyBorder="1"/>
    <x:xf numFmtId="0" fontId="5" fillId="8" borderId="26" xfId="0" applyNumberFormat="1" applyFont="1" applyFill="1" applyBorder="1"/>
    <x:xf numFmtId="0" fontId="5" fillId="8" borderId="27" xfId="0" applyNumberFormat="1" applyFont="1" applyFill="1" applyBorder="1"/>
    <x:xf numFmtId="0" fontId="5" fillId="8" borderId="28" xfId="0" applyNumberFormat="1" applyFont="1" applyFill="1" applyBorder="1"/>
    <x:xf numFmtId="0" fontId="5" fillId="8" borderId="23" xfId="0" applyNumberFormat="1" applyFont="1" applyFill="1" applyBorder="1" applyAlignment="1">
      <x:alignment wrapText="1"/>
    </x:xf>
    <x:xf numFmtId="0" fontId="5" fillId="8" borderId="24" xfId="0" applyNumberFormat="1" applyFont="1" applyFill="1" applyBorder="1" applyAlignment="1">
      <x:alignment wrapText="1"/>
    </x:xf>
    <x:xf numFmtId="0" fontId="5" fillId="8" borderId="25" xfId="0" applyNumberFormat="1" applyFont="1" applyFill="1" applyBorder="1" applyAlignment="1">
      <x:alignment wrapText="1"/>
    </x:xf>
    <x:xf numFmtId="0" fontId="5" fillId="8" borderId="26" xfId="0" applyNumberFormat="1" applyFont="1" applyFill="1" applyBorder="1" applyAlignment="1">
      <x:alignment wrapText="1"/>
    </x:xf>
    <x:xf numFmtId="0" fontId="5" fillId="8" borderId="27" xfId="0" applyNumberFormat="1" applyFont="1" applyFill="1" applyBorder="1" applyAlignment="1">
      <x:alignment wrapText="1"/>
    </x:xf>
    <x:xf numFmtId="0" fontId="5" fillId="8" borderId="28" xfId="0" applyNumberFormat="1" applyFont="1" applyFill="1" applyBorder="1" applyAlignment="1">
      <x:alignment wrapText="1"/>
    </x:xf>
    <x:xf numFmtId="0" fontId="5" fillId="8" borderId="23" xfId="0" applyNumberFormat="1" applyFont="1" applyFill="1" applyBorder="1" applyAlignment="1">
      <x:alignment horizontal="center" wrapText="1"/>
    </x:xf>
    <x:xf numFmtId="0" fontId="5" fillId="8" borderId="24" xfId="0" applyNumberFormat="1" applyFont="1" applyFill="1" applyBorder="1" applyAlignment="1">
      <x:alignment horizontal="center" wrapText="1"/>
    </x:xf>
    <x:xf numFmtId="0" fontId="5" fillId="8" borderId="25" xfId="0" applyNumberFormat="1" applyFont="1" applyFill="1" applyBorder="1" applyAlignment="1">
      <x:alignment horizontal="center" wrapText="1"/>
    </x:xf>
    <x:xf numFmtId="0" fontId="5" fillId="8" borderId="26" xfId="0" applyNumberFormat="1" applyFont="1" applyFill="1" applyBorder="1" applyAlignment="1">
      <x:alignment horizontal="center" wrapText="1"/>
    </x:xf>
    <x:xf numFmtId="0" fontId="5" fillId="8" borderId="27" xfId="0" applyNumberFormat="1" applyFont="1" applyFill="1" applyBorder="1" applyAlignment="1">
      <x:alignment horizontal="center" wrapText="1"/>
    </x:xf>
    <x:xf numFmtId="0" fontId="5" fillId="8" borderId="28" xfId="0" applyNumberFormat="1" applyFont="1" applyFill="1" applyBorder="1" applyAlignment="1">
      <x:alignment horizontal="center" wrapText="1"/>
    </x:xf>
    <x:xf numFmtId="0" fontId="5" fillId="8" borderId="23" xfId="0" applyNumberFormat="1" applyFont="1" applyFill="1" applyBorder="1" applyAlignment="1">
      <x:alignment horizontal="center" vertical="center" wrapText="1"/>
    </x:xf>
    <x:xf numFmtId="0" fontId="5" fillId="8" borderId="24" xfId="0" applyNumberFormat="1" applyFont="1" applyFill="1" applyBorder="1" applyAlignment="1">
      <x:alignment horizontal="center" vertical="center" wrapText="1"/>
    </x:xf>
    <x:xf numFmtId="0" fontId="5" fillId="8" borderId="25" xfId="0" applyNumberFormat="1" applyFont="1" applyFill="1" applyBorder="1" applyAlignment="1">
      <x:alignment horizontal="center" vertical="center" wrapText="1"/>
    </x:xf>
    <x:xf numFmtId="0" fontId="5" fillId="8" borderId="26" xfId="0" applyNumberFormat="1" applyFont="1" applyFill="1" applyBorder="1" applyAlignment="1">
      <x:alignment horizontal="center" vertical="center" wrapText="1"/>
    </x:xf>
    <x:xf numFmtId="0" fontId="5" fillId="8" borderId="27" xfId="0" applyNumberFormat="1" applyFont="1" applyFill="1" applyBorder="1" applyAlignment="1">
      <x:alignment horizontal="center" vertical="center" wrapText="1"/>
    </x:xf>
    <x:xf numFmtId="0" fontId="5" fillId="8" borderId="28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29" xfId="0" applyNumberFormat="1" applyFont="1" applyFill="1" applyBorder="1"/>
    <x:xf numFmtId="0" fontId="5" fillId="3" borderId="30" xfId="0" applyNumberFormat="1" applyFont="1" applyFill="1" applyBorder="1"/>
    <x:xf numFmtId="0" fontId="5" fillId="3" borderId="31" xfId="0" applyNumberFormat="1" applyFont="1" applyFill="1" applyBorder="1"/>
    <x:xf numFmtId="0" fontId="5" fillId="3" borderId="32" xfId="0" applyNumberFormat="1" applyFont="1" applyFill="1" applyBorder="1"/>
    <x:xf numFmtId="0" fontId="5" fillId="3" borderId="33" xfId="0" applyNumberFormat="1" applyFont="1" applyFill="1" applyBorder="1"/>
    <x:xf numFmtId="0" fontId="5" fillId="3" borderId="34" xfId="0" applyNumberFormat="1" applyFont="1" applyFill="1" applyBorder="1"/>
    <x:xf numFmtId="0" fontId="5" fillId="3" borderId="29" xfId="0" applyNumberFormat="1" applyFont="1" applyFill="1" applyBorder="1" applyAlignment="1">
      <x:alignment wrapText="1"/>
    </x:xf>
    <x:xf numFmtId="0" fontId="5" fillId="3" borderId="30" xfId="0" applyNumberFormat="1" applyFont="1" applyFill="1" applyBorder="1" applyAlignment="1">
      <x:alignment wrapText="1"/>
    </x:xf>
    <x:xf numFmtId="0" fontId="5" fillId="3" borderId="31" xfId="0" applyNumberFormat="1" applyFont="1" applyFill="1" applyBorder="1" applyAlignment="1">
      <x:alignment wrapText="1"/>
    </x:xf>
    <x:xf numFmtId="0" fontId="5" fillId="3" borderId="32" xfId="0" applyNumberFormat="1" applyFont="1" applyFill="1" applyBorder="1" applyAlignment="1">
      <x:alignment wrapText="1"/>
    </x:xf>
    <x:xf numFmtId="0" fontId="5" fillId="3" borderId="33" xfId="0" applyNumberFormat="1" applyFont="1" applyFill="1" applyBorder="1" applyAlignment="1">
      <x:alignment wrapText="1"/>
    </x:xf>
    <x:xf numFmtId="0" fontId="5" fillId="3" borderId="34" xfId="0" applyNumberFormat="1" applyFont="1" applyFill="1" applyBorder="1" applyAlignment="1">
      <x:alignment wrapText="1"/>
    </x:xf>
    <x:xf numFmtId="0" fontId="5" fillId="3" borderId="29" xfId="0" applyNumberFormat="1" applyFont="1" applyFill="1" applyBorder="1" applyAlignment="1">
      <x:alignment horizontal="center" wrapText="1"/>
    </x:xf>
    <x:xf numFmtId="0" fontId="5" fillId="3" borderId="30" xfId="0" applyNumberFormat="1" applyFont="1" applyFill="1" applyBorder="1" applyAlignment="1">
      <x:alignment horizontal="center" wrapText="1"/>
    </x:xf>
    <x:xf numFmtId="0" fontId="5" fillId="3" borderId="31" xfId="0" applyNumberFormat="1" applyFont="1" applyFill="1" applyBorder="1" applyAlignment="1">
      <x:alignment horizontal="center" wrapText="1"/>
    </x:xf>
    <x:xf numFmtId="0" fontId="5" fillId="3" borderId="32" xfId="0" applyNumberFormat="1" applyFont="1" applyFill="1" applyBorder="1" applyAlignment="1">
      <x:alignment horizontal="center" wrapText="1"/>
    </x:xf>
    <x:xf numFmtId="0" fontId="5" fillId="3" borderId="33" xfId="0" applyNumberFormat="1" applyFont="1" applyFill="1" applyBorder="1" applyAlignment="1">
      <x:alignment horizontal="center" wrapText="1"/>
    </x:xf>
    <x:xf numFmtId="0" fontId="5" fillId="3" borderId="34" xfId="0" applyNumberFormat="1" applyFont="1" applyFill="1" applyBorder="1" applyAlignment="1">
      <x:alignment horizontal="center" wrapText="1"/>
    </x:xf>
    <x:xf numFmtId="0" fontId="5" fillId="3" borderId="29" xfId="0" applyNumberFormat="1" applyFont="1" applyFill="1" applyBorder="1" applyAlignment="1">
      <x:alignment horizontal="center" vertical="center" wrapText="1"/>
    </x:xf>
    <x:xf numFmtId="0" fontId="5" fillId="3" borderId="30" xfId="0" applyNumberFormat="1" applyFont="1" applyFill="1" applyBorder="1" applyAlignment="1">
      <x:alignment horizontal="center" vertical="center" wrapText="1"/>
    </x:xf>
    <x:xf numFmtId="0" fontId="5" fillId="3" borderId="31" xfId="0" applyNumberFormat="1" applyFont="1" applyFill="1" applyBorder="1" applyAlignment="1">
      <x:alignment horizontal="center" vertical="center" wrapText="1"/>
    </x:xf>
    <x:xf numFmtId="0" fontId="5" fillId="3" borderId="32" xfId="0" applyNumberFormat="1" applyFont="1" applyFill="1" applyBorder="1" applyAlignment="1">
      <x:alignment horizontal="center" vertical="center" wrapText="1"/>
    </x:xf>
    <x:xf numFmtId="0" fontId="5" fillId="3" borderId="33" xfId="0" applyNumberFormat="1" applyFont="1" applyFill="1" applyBorder="1" applyAlignment="1">
      <x:alignment horizontal="center" vertical="center" wrapText="1"/>
    </x:xf>
    <x:xf numFmtId="0" fontId="5" fillId="3" borderId="34" xfId="0" applyNumberFormat="1" applyFont="1" applyFill="1" applyBorder="1" applyAlignment="1">
      <x:alignment horizontal="center" vertical="center" wrapText="1"/>
    </x:xf>
    <x:xf numFmtId="0" fontId="3" fillId="0" borderId="35" xfId="0" applyNumberFormat="1" applyFont="1" applyFill="1" applyBorder="1"/>
    <x:xf numFmtId="0" fontId="3" fillId="0" borderId="36" xfId="0" applyNumberFormat="1" applyFont="1" applyFill="1" applyBorder="1"/>
    <x:xf numFmtId="0" fontId="3" fillId="0" borderId="35" xfId="0" applyNumberFormat="1" applyFont="1" applyFill="1" applyBorder="1" applyAlignment="1">
      <x:alignment wrapText="1"/>
    </x:xf>
    <x:xf numFmtId="0" fontId="3" fillId="0" borderId="36" xfId="0" applyNumberFormat="1" applyFont="1" applyFill="1" applyBorder="1" applyAlignment="1">
      <x:alignment wrapText="1"/>
    </x:xf>
    <x:xf numFmtId="0" fontId="3" fillId="0" borderId="35" xfId="0" applyNumberFormat="1" applyFont="1" applyFill="1" applyBorder="1" applyAlignment="1">
      <x:alignment vertical="top" wrapText="1"/>
    </x:xf>
    <x:xf numFmtId="0" fontId="3" fillId="0" borderId="36" xfId="0" applyNumberFormat="1" applyFont="1" applyFill="1" applyBorder="1" applyAlignment="1">
      <x:alignment vertical="top" wrapText="1"/>
    </x:xf>
    <x:xf numFmtId="200" fontId="3" fillId="0" borderId="35" xfId="0" applyNumberFormat="1" applyFont="1" applyFill="1" applyBorder="1" applyAlignment="1">
      <x:alignment vertical="top" wrapText="1"/>
    </x:xf>
    <x:xf numFmtId="200" fontId="3" fillId="0" borderId="3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8c39edc984c5f" /><Relationship Type="http://schemas.openxmlformats.org/officeDocument/2006/relationships/theme" Target="/xl/theme/theme1.xml" Id="R0ef4518f0c854a7e" /><Relationship Type="http://schemas.microsoft.com/office/2022/11/relationships/FeaturePropertyBag" Target="/xl/featurePropertyBag/featurePropertyBag.xml" Id="R52e096ebe3564dbb" /><Relationship Type="http://schemas.openxmlformats.org/officeDocument/2006/relationships/sharedStrings" Target="/xl/sharedStrings.xml" Id="R0321efa41c6f46fa" /><Relationship Type="http://schemas.openxmlformats.org/officeDocument/2006/relationships/worksheet" Target="/xl/worksheets/sheet1.xml" Id="R012d3651d7f842ba" /><Relationship Type="http://schemas.openxmlformats.org/officeDocument/2006/relationships/worksheet" Target="/xl/worksheets/sheet2.xml" Id="R910fabfbd6ec4c0a" /><Relationship Type="http://schemas.openxmlformats.org/officeDocument/2006/relationships/worksheet" Target="/xl/worksheets/sheet3.xml" Id="Rba21934698ea432e" /><Relationship Type="http://schemas.openxmlformats.org/officeDocument/2006/relationships/worksheet" Target="/xl/worksheets/sheet4.xml" Id="Rbfc47b0a437c4503" /><Relationship Type="http://schemas.openxmlformats.org/officeDocument/2006/relationships/worksheet" Target="/xl/worksheets/sheet5.xml" Id="R59ff52402f9541c5" /><Relationship Type="http://schemas.openxmlformats.org/officeDocument/2006/relationships/worksheet" Target="/xl/worksheets/sheet6.xml" Id="Rfdd5625574d342d7" /><Relationship Type="http://schemas.openxmlformats.org/officeDocument/2006/relationships/worksheet" Target="/xl/worksheets/sheet7.xml" Id="Rb641b5fbaa7d44f9" /><Relationship Type="http://schemas.openxmlformats.org/officeDocument/2006/relationships/worksheet" Target="/xl/worksheets/sheet8.xml" Id="Rb1583d09aed34ee9" /><Relationship Type="http://schemas.openxmlformats.org/officeDocument/2006/relationships/worksheet" Target="/xl/worksheets/sheet9.xml" Id="Re25fa7b4c63e42b3" /><Relationship Type="http://schemas.openxmlformats.org/officeDocument/2006/relationships/worksheet" Target="/xl/worksheets/sheet10.xml" Id="R4fb73c0ca5624cd4" /><Relationship Type="http://schemas.openxmlformats.org/officeDocument/2006/relationships/worksheet" Target="/xl/worksheets/sheet11.xml" Id="R340682d31da04011" /><Relationship Type="http://schemas.openxmlformats.org/officeDocument/2006/relationships/worksheet" Target="/xl/worksheets/sheet12.xml" Id="Rdeb21367bbca4394" /><Relationship Type="http://schemas.openxmlformats.org/officeDocument/2006/relationships/worksheet" Target="/xl/worksheets/sheet13.xml" Id="R5e3c5b823d7b4115" /><Relationship Type="http://schemas.microsoft.com/office/2017/10/relationships/person" Target="/xl/persons/person.xml" Id="Refb61b37c93941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Jeff Jaycox" id="{390EB100-34BB-454C-9678-E712B2251133}"/>
</xltc:personList>
</file>

<file path=xl/tables/table1.xml><?xml version="1.0" encoding="utf-8"?>
<x:table xmlns:x="http://schemas.openxmlformats.org/spreadsheetml/2006/main" id="1" name="FlowchartNodesTable" displayName="FlowchartNodesTable" ref="A1:S19" headerRowCount="1" totalsRowCount="0" totalsRowShown="0">
  <x:autoFilter ref="A1:S19"/>
  <x:tableColumns count="19">
    <x:tableColumn id="1" name="flowchart_key"/>
    <x:tableColumn id="2" name="node_id"/>
    <x:tableColumn id="3" name="label"/>
    <x:tableColumn id="4" name="lane"/>
    <x:tableColumn id="5" name="flow_stage"/>
    <x:tableColumn id="6" name="node_role"/>
    <x:tableColumn id="7" name="react_node_type"/>
    <x:tableColumn id="8" name="status"/>
    <x:tableColumn id="9" name="x"/>
    <x:tableColumn id="10" name="y"/>
    <x:tableColumn id="11" name="width"/>
    <x:tableColumn id="12" name="height"/>
    <x:tableColumn id="13" name="fill_color"/>
    <x:tableColumn id="14" name="border_color"/>
    <x:tableColumn id="15" name="parent_group"/>
    <x:tableColumn id="16" name="detail_panel_title"/>
    <x:tableColumn id="17" name="inputs_summary"/>
    <x:tableColumn id="18" name="outputs_summary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owchartEdgesTable" displayName="FlowchartEdgesTable" ref="A1:N21" headerRowCount="1" totalsRowCount="0" totalsRowShown="0">
  <x:autoFilter ref="A1:N21"/>
  <x:tableColumns count="14">
    <x:tableColumn id="1" name="edge_id"/>
    <x:tableColumn id="2" name="source_key"/>
    <x:tableColumn id="3" name="target_key"/>
    <x:tableColumn id="4" name="source_node_id"/>
    <x:tableColumn id="5" name="target_node_id"/>
    <x:tableColumn id="6" name="label"/>
    <x:tableColumn id="7" name="edge_type"/>
    <x:tableColumn id="8" name="animated"/>
    <x:tableColumn id="9" name="stroke_color"/>
    <x:tableColumn id="10" name="source_handle"/>
    <x:tableColumn id="11" name="target_handle"/>
    <x:tableColumn id="12" name="handoff_type"/>
    <x:tableColumn id="13" name="data_material_handoff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essRegisterTable" displayName="ProcessRegisterTable" ref="A1:U19" headerRowCount="1" totalsRowCount="0" totalsRowShown="0">
  <x:autoFilter ref="A1:U19"/>
  <x:tableColumns count="21">
    <x:tableColumn id="1" name="flowchart_key"/>
    <x:tableColumn id="2" name="node_id"/>
    <x:tableColumn id="3" name="process_area"/>
    <x:tableColumn id="4" name="lane"/>
    <x:tableColumn id="5" name="process_owner"/>
    <x:tableColumn id="6" name="inputs"/>
    <x:tableColumn id="7" name="major_activities"/>
    <x:tableColumn id="8" name="outputs"/>
    <x:tableColumn id="9" name="quality_checkpoints"/>
    <x:tableColumn id="10" name="erp_mrp_notional"/>
    <x:tableColumn id="11" name="department_software_notional"/>
    <x:tableColumn id="12" name="spreadsheet_tracker_notional"/>
    <x:tableColumn id="13" name="ai_automation_notional"/>
    <x:tableColumn id="14" name="pain_points_notional"/>
    <x:tableColumn id="15" name="opportunity_notional"/>
    <x:tableColumn id="16" name="time_savings_notional"/>
    <x:tableColumn id="17" name="process_status"/>
    <x:tableColumn id="18" name="outgoing_edge_count"/>
    <x:tableColumn id="19" name="incoming_edge_count"/>
    <x:tableColumn id="20" name="software_row_count"/>
    <x:tableColumn id="2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essSoftwareTable" displayName="ProcessSoftwareTable" ref="A1:K73" headerRowCount="1" totalsRowCount="0" totalsRowShown="0">
  <x:autoFilter ref="A1:K73"/>
  <x:tableColumns count="11">
    <x:tableColumn id="1" name="node_id"/>
    <x:tableColumn id="2" name="flowchart_key"/>
    <x:tableColumn id="3" name="process_area"/>
    <x:tableColumn id="4" name="software_category"/>
    <x:tableColumn id="5" name="package_name_notional"/>
    <x:tableColumn id="6" name="lifecycle_status"/>
    <x:tableColumn id="7" name="system_owner"/>
    <x:tableColumn id="8" name="integration_direction"/>
    <x:tableColumn id="9" name="key_data_objects"/>
    <x:tableColumn id="10" name="react_detail_field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stemConnectionsTable" displayName="SystemConnectionsTable" ref="A1:X45" headerRowCount="1" totalsRowCount="0" totalsRowShown="0">
  <x:autoFilter ref="A1:X45"/>
  <x:tableColumns count="24">
    <x:tableColumn id="1" name="connection_id"/>
    <x:tableColumn id="2" name="source_node_id"/>
    <x:tableColumn id="3" name="target_node_id"/>
    <x:tableColumn id="4" name="source_process"/>
    <x:tableColumn id="5" name="target_process"/>
    <x:tableColumn id="6" name="source_lane"/>
    <x:tableColumn id="7" name="target_lane"/>
    <x:tableColumn id="8" name="system_name"/>
    <x:tableColumn id="9" name="system_category"/>
    <x:tableColumn id="10" name="connection_type"/>
    <x:tableColumn id="11" name="data_transmitted"/>
    <x:tableColumn id="12" name="trigger_event"/>
    <x:tableColumn id="13" name="automation_role"/>
    <x:tableColumn id="14" name="lifecycle_status"/>
    <x:tableColumn id="15" name="owner"/>
    <x:tableColumn id="16" name="frequency"/>
    <x:tableColumn id="17" name="directionality"/>
    <x:tableColumn id="18" name="react_edge_id"/>
    <x:tableColumn id="19" name="react_edge_type"/>
    <x:tableColumn id="20" name="line_color"/>
    <x:tableColumn id="21" name="line_style"/>
    <x:tableColumn id="22" name="line_width"/>
    <x:tableColumn id="23" name="animated"/>
    <x:tableColumn id="2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haredSystemsTable" displayName="SharedSystemsTable" ref="A1:J8" headerRowCount="1" totalsRowCount="0" totalsRowShown="0">
  <x:autoFilter ref="A1:J8"/>
  <x:tableColumns count="10">
    <x:tableColumn id="1" name="system_name"/>
    <x:tableColumn id="2" name="system_category"/>
    <x:tableColumn id="3" name="lifecycle_status"/>
    <x:tableColumn id="4" name="system_owner"/>
    <x:tableColumn id="5" name="line_color"/>
    <x:tableColumn id="6" name="line_style"/>
    <x:tableColumn id="7" name="data_scope"/>
    <x:tableColumn id="8" name="connected_flowchart_keys"/>
    <x:tableColumn id="9" name="connection_count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FlowEdgesTable" displayName="DataFlowEdgesTable" ref="A1:R45" headerRowCount="1" totalsRowCount="0" totalsRowShown="0">
  <x:autoFilter ref="A1:R45"/>
  <x:tableColumns count="18">
    <x:tableColumn id="1" name="edge_id"/>
    <x:tableColumn id="2" name="source_node_id"/>
    <x:tableColumn id="3" name="target_node_id"/>
    <x:tableColumn id="4" name="edge_type"/>
    <x:tableColumn id="5" name="animated"/>
    <x:tableColumn id="6" name="label"/>
    <x:tableColumn id="7" name="connection_type"/>
    <x:tableColumn id="8" name="system_category"/>
    <x:tableColumn id="9" name="data_transmitted"/>
    <x:tableColumn id="10" name="stroke_color"/>
    <x:tableColumn id="11" name="stroke_width"/>
    <x:tableColumn id="12" name="stroke_dasharray"/>
    <x:tableColumn id="13" name="source_handle"/>
    <x:tableColumn id="14" name="target_handle"/>
    <x:tableColumn id="15" name="z_index"/>
    <x:tableColumn id="16" name="connection_id"/>
    <x:tableColumn id="17" name="edge_layer"/>
    <x:tableColumn id="18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actImportMapTable" displayName="ReactImportMapTable" ref="A3:E32" headerRowCount="1" totalsRowCount="0" totalsRowShown="0">
  <x:autoFilter ref="A3:E32"/>
  <x:tableColumns count="5">
    <x:tableColumn id="1" name="source_sheet"/>
    <x:tableColumn id="2" name="excel_column"/>
    <x:tableColumn id="3" name="react_field"/>
    <x:tableColumn id="4" name="use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rmaidReferenceTable" displayName="MermaidReferenceTable" ref="A1:B25" headerRowCount="1" totalsRowCount="0" totalsRowShown="0">
  <x:autoFilter ref="A1:B25"/>
  <x:tableColumns count="2">
    <x:tableColumn id="1" name="line"/>
    <x:tableColumn id="2" name="mermaid_cod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ntrolledListsTable" displayName="ControlledListsTable" ref="A1:I11" headerRowCount="1" totalsRowCount="0" totalsRowShown="0">
  <x:autoFilter ref="A1:I11"/>
  <x:tableColumns count="9">
    <x:tableColumn id="1" name="lanes"/>
    <x:tableColumn id="2" name="statuses"/>
    <x:tableColumn id="3" name="node_roles"/>
    <x:tableColumn id="4" name="react_node_types"/>
    <x:tableColumn id="5" name="edge_types"/>
    <x:tableColumn id="6" name="system_categories"/>
    <x:tableColumn id="7" name="line_styles"/>
    <x:tableColumn id="8" name="software_categories"/>
    <x:tableColumn id="9" name="objectiv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DictionaryTable" displayName="DataDictionaryTable" ref="A1:E23" headerRowCount="1" totalsRowCount="0" totalsRowShown="0">
  <x:autoFilter ref="A1:E23"/>
  <x:tableColumns count="5">
    <x:tableColumn id="1" name="sheet"/>
    <x:tableColumn id="2" name="field_or_section"/>
    <x:tableColumn id="3" name="type"/>
    <x:tableColumn id="4" name="required"/>
    <x:tableColumn id="5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973844bbb2442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4be8e0c81024c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039d2ea658a49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2a4f3fcceeb42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9ab124273c746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65ef157da7642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cbd3b049abc4d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a62e056803d46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27dba98cb14fd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a49d587814a4e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a571fffa9dbd43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2">
      <x:c r="B2" s="4" t="str">
        <x:v>Tabet Shop Flowchart Interconnected Systems Framework</x:v>
      </x:c>
    </x:row>
    <x:row r="4">
      <x:c r="B4" s="7" t="str">
        <x:v>Purpose: use this workbook as the editable source of truth for a React flowchart in VS Code. The Flowchart Nodes and Flowchart Edges sheets recreate the shop-process flowchart; System Connections and Data Flow Edges define the notional software/data lines that show information moving between departments.</x:v>
      </x:c>
    </x:row>
    <x:row r="8">
      <x:c r="B8" s="11" t="str">
        <x:v>Metric</x:v>
      </x:c>
      <x:c r="C8" s="11" t="str">
        <x:v>Formula</x:v>
      </x:c>
      <x:c r="E8" s="11" t="str">
        <x:v>Recommended VS Code Workflow</x:v>
      </x:c>
      <x:c r="F8" s="11"/>
      <x:c r="G8" s="11"/>
      <x:c r="H8" s="11"/>
    </x:row>
    <x:row r="9">
      <x:c r="B9" s="21" t="str">
        <x:v>Flowchart nodes</x:v>
      </x:c>
      <x:c r="C9" s="25" t="n">
        <x:f>COUNTA('Flowchart Nodes'!$A$2:$A$19)</x:f>
        <x:v>18</x:v>
      </x:c>
      <x:c r="E9" s="29" t="str">
        <x:v>1. Read Flowchart Nodes as the React nodes array.</x:v>
      </x:c>
      <x:c r="F9" s="29"/>
      <x:c r="G9" s="29"/>
      <x:c r="H9" s="29"/>
    </x:row>
    <x:row r="10">
      <x:c r="B10" s="23" t="str">
        <x:v>Flowchart edges</x:v>
      </x:c>
      <x:c r="C10" s="26" t="n">
        <x:f>COUNTA('Flowchart Edges'!$A$2:$A$21)</x:f>
        <x:v>20</x:v>
      </x:c>
      <x:c r="E10" s="29" t="str">
        <x:v>2. Read Flowchart Edges as the React edges array.</x:v>
      </x:c>
      <x:c r="F10" s="29"/>
      <x:c r="G10" s="29"/>
      <x:c r="H10" s="29"/>
    </x:row>
    <x:row r="11">
      <x:c r="B11" s="23" t="str">
        <x:v>Shared systems</x:v>
      </x:c>
      <x:c r="C11" s="26" t="n">
        <x:f>COUNTA('Shared Systems'!$A$2:$A$8)</x:f>
        <x:v>7</x:v>
      </x:c>
      <x:c r="E11" s="29" t="str">
        <x:v>3. Read Data Flow Edges as the React overlay lines for systems/data movement.</x:v>
      </x:c>
      <x:c r="F11" s="29"/>
      <x:c r="G11" s="29"/>
      <x:c r="H11" s="29"/>
    </x:row>
    <x:row r="12">
      <x:c r="B12" s="23" t="str">
        <x:v>System connections</x:v>
      </x:c>
      <x:c r="C12" s="26" t="n">
        <x:f>COUNTA('System Connections'!$A$2:$A$45)</x:f>
        <x:v>44</x:v>
      </x:c>
      <x:c r="E12" s="29" t="str">
        <x:v>4. Join System Connections by connection_id for tooltips and detail panels.</x:v>
      </x:c>
      <x:c r="F12" s="29"/>
      <x:c r="G12" s="29"/>
      <x:c r="H12" s="29"/>
    </x:row>
    <x:row r="13">
      <x:c r="B13" s="23" t="str">
        <x:v>React data-flow edges</x:v>
      </x:c>
      <x:c r="C13" s="26" t="n">
        <x:f>COUNTA('Data Flow Edges'!$A$2:$A$45)</x:f>
        <x:v>44</x:v>
      </x:c>
      <x:c r="E13" s="29" t="str">
        <x:v>5. Join Process Software by node_id for node detail panels.</x:v>
      </x:c>
      <x:c r="F13" s="29"/>
      <x:c r="G13" s="29"/>
      <x:c r="H13" s="29"/>
    </x:row>
    <x:row r="14">
      <x:c r="B14" s="23" t="str">
        <x:v>Process register rows</x:v>
      </x:c>
      <x:c r="C14" s="26" t="n">
        <x:f>COUNTA('Process Register'!$A$2:$A$19)</x:f>
        <x:v>18</x:v>
      </x:c>
      <x:c r="E14" s="29" t="str">
        <x:v>6. Use x/y/width/height/color fields for initial layout.</x:v>
      </x:c>
      <x:c r="F14" s="29"/>
      <x:c r="G14" s="29"/>
      <x:c r="H14" s="29"/>
    </x:row>
    <x:row r="15">
      <x:c r="B15" s="23" t="str">
        <x:v>Notional software rows</x:v>
      </x:c>
      <x:c r="C15" s="26" t="n">
        <x:f>COUNTA('Process Software'!$A$2:$A$73)</x:f>
        <x:v>72</x:v>
      </x:c>
      <x:c r="E15" s="29" t="str">
        <x:v>7. Use line_color, line_style, stroke_dasharray, and animated for connection styling.</x:v>
      </x:c>
      <x:c r="F15" s="29"/>
      <x:c r="G15" s="29"/>
      <x:c r="H15" s="29"/>
    </x:row>
    <x:row r="16">
      <x:c r="B16" s="23" t="str">
        <x:v>ERP/MRP rows</x:v>
      </x:c>
      <x:c r="C16" s="26" t="n">
        <x:f>COUNTIF('Process Software'!$D$2:$D$73,"ERP/MRP System")</x:f>
        <x:v>18</x:v>
      </x:c>
      <x:c r="E16" s="29" t="str">
        <x:v>8. Use Mermaid Reference as the exact process-diagram parity check.</x:v>
      </x:c>
      <x:c r="F16" s="29"/>
      <x:c r="G16" s="29"/>
      <x:c r="H16" s="29"/>
    </x:row>
    <x:row r="17">
      <x:c r="B17" s="23" t="str">
        <x:v>AI automation rows</x:v>
      </x:c>
      <x:c r="C17" s="26" t="n">
        <x:f>COUNTIF('Process Software'!$D$2:$D$73,"AI/Automation")</x:f>
        <x:v>18</x:v>
      </x:c>
      <x:c r="E17" s="29" t="str">
        <x:v>9. Treat all populated systems/AI entries as notional demo content until validated.</x:v>
      </x:c>
      <x:c r="F17" s="29"/>
      <x:c r="G17" s="29"/>
      <x:c r="H17" s="29"/>
    </x:row>
    <x:row r="18">
      <x:c r="B18" s="23" t="str">
        <x:v>Manufacturing work centers</x:v>
      </x:c>
      <x:c r="C18" s="26" t="n">
        <x:f>COUNTIF('Flowchart Nodes'!$F$2:$F$19,"Work Center")</x:f>
        <x:v>4</x:v>
      </x:c>
    </x:row>
    <x:row r="20">
      <x:c r="B20" s="11" t="str">
        <x:v>Core Flowchart</x:v>
      </x:c>
      <x:c r="C20" s="11"/>
      <x:c r="D20" s="11"/>
      <x:c r="E20" s="11"/>
      <x:c r="F20" s="11"/>
      <x:c r="G20" s="11"/>
      <x:c r="H20" s="11"/>
    </x:row>
    <x:row r="21">
      <x:c r="B21" s="32" t="str">
        <x:v>Sales &amp; Customer Opportunities -&gt; Estimating &amp; Quoting -&gt; Order Review &amp; Processing -&gt; Engineering &amp; Production Planning -&gt; Purchasing &amp; Supplier Management -&gt; Receiving &amp; Material Control -&gt; Project Management -&gt; parallel manufacturing work centers -&gt; Grinding &amp; Finishing -&gt; Coatings -&gt; Marking -&gt; Assembly -&gt; Testing -&gt; Final Quality Assurance -&gt; Shipping &amp; Customer Delivery</x:v>
      </x:c>
    </x:row>
    <x:row r="30">
      <x:c r="B30" s="11" t="str">
        <x:v>System/Data Connection Overlay</x:v>
      </x:c>
      <x:c r="C30" s="11"/>
      <x:c r="D30" s="11"/>
      <x:c r="E30" s="11"/>
      <x:c r="F30" s="11"/>
      <x:c r="G30" s="11"/>
      <x:c r="H30" s="11"/>
    </x:row>
    <x:row r="31">
      <x:c r="B31" s="35" t="str">
        <x:v>Data Flow Edges draws additional colored lines on top of the same nodes: blue for ERP/MRP, purple for department software, orange dashed lines for trackers, red for QMS/compliance, and green animated/dotted lines for AI automation.</x:v>
      </x:c>
    </x:row>
  </x:sheetData>
  <x:mergeCells>
    <x:mergeCell ref="B2:H2"/>
    <x:mergeCell ref="B4:H6"/>
    <x:mergeCell ref="E8:H8"/>
    <x:mergeCell ref="E9:H9"/>
    <x:mergeCell ref="E10:H10"/>
    <x:mergeCell ref="E11:H11"/>
    <x:mergeCell ref="E12:H12"/>
    <x:mergeCell ref="E13:H13"/>
    <x:mergeCell ref="E14:H14"/>
    <x:mergeCell ref="E15:H15"/>
    <x:mergeCell ref="E16:H16"/>
    <x:mergeCell ref="E17:H17"/>
    <x:mergeCell ref="B20:H20"/>
    <x:mergeCell ref="B21:H28"/>
    <x:mergeCell ref="B30:H30"/>
    <x:mergeCell ref="B31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4" hidden="0" customWidth="1"/>
    <x:col min="6" max="6" width="16" hidden="0" customWidth="1"/>
    <x:col min="7" max="7" width="16" hidden="0" customWidth="1"/>
    <x:col min="8" max="8" width="16" hidden="0" customWidth="1"/>
    <x:col min="9" max="9" width="4" hidden="0" customWidth="1"/>
    <x:col min="10" max="10" width="16" hidden="0" customWidth="1"/>
    <x:col min="11" max="11" width="16" hidden="0" customWidth="1"/>
    <x:col min="12" max="12" width="16" hidden="0" customWidth="1"/>
    <x:col min="13" max="13" width="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/>
    <x:row r="2" ht="24" customHeight="1">
      <x:c r="B2" s="38" t="str">
        <x:v>Visual Blueprint - Matches Flowchart Nodes and Edges</x:v>
      </x:c>
    </x:row>
    <x:row r="3" ht="24" customHeight="1"/>
    <x:row r="4" ht="24" customHeight="1">
      <x:c r="H4" s="58" t="str">
        <x:v>A  Sales &amp; Customer Opportunities</x:v>
      </x:c>
      <x:c r="I4" s="59" t="str">
        <x:v>A  Sales &amp; Customer Opportunities</x:v>
      </x:c>
      <x:c r="J4" s="60" t="str">
        <x:v>A  Sales &amp; Customer Opportunities</x:v>
      </x:c>
    </x:row>
    <x:row r="5" ht="24" customHeight="1">
      <x:c r="H5" s="61" t="str">
        <x:v>A  Sales &amp; Customer Opportunities</x:v>
      </x:c>
      <x:c r="I5" s="62" t="str">
        <x:v>A  Sales &amp; Customer Opportunities</x:v>
      </x:c>
      <x:c r="J5" s="63" t="str">
        <x:v>A  Sales &amp; Customer Opportunities</x:v>
      </x:c>
    </x:row>
    <x:row r="6" ht="24" customHeight="1">
      <x:c r="I6" s="143" t="str">
        <x:v>v</x:v>
      </x:c>
    </x:row>
    <x:row r="7" ht="24" customHeight="1">
      <x:c r="H7" s="58" t="str">
        <x:v>B  Estimating &amp; Quoting</x:v>
      </x:c>
      <x:c r="I7" s="59" t="str">
        <x:v>B  Estimating &amp; Quoting</x:v>
      </x:c>
      <x:c r="J7" s="60" t="str">
        <x:v>B  Estimating &amp; Quoting</x:v>
      </x:c>
    </x:row>
    <x:row r="8" ht="24" customHeight="1">
      <x:c r="H8" s="61" t="str">
        <x:v>B  Estimating &amp; Quoting</x:v>
      </x:c>
      <x:c r="I8" s="62" t="str">
        <x:v>B  Estimating &amp; Quoting</x:v>
      </x:c>
      <x:c r="J8" s="63" t="str">
        <x:v>B  Estimating &amp; Quoting</x:v>
      </x:c>
    </x:row>
    <x:row r="9" ht="24" customHeight="1">
      <x:c r="I9" s="143" t="str">
        <x:v>v</x:v>
      </x:c>
    </x:row>
    <x:row r="10" ht="24" customHeight="1">
      <x:c r="H10" s="58" t="str">
        <x:v>C  Order Review &amp; Processing</x:v>
      </x:c>
      <x:c r="I10" s="59" t="str">
        <x:v>C  Order Review &amp; Processing</x:v>
      </x:c>
      <x:c r="J10" s="60" t="str">
        <x:v>C  Order Review &amp; Processing</x:v>
      </x:c>
    </x:row>
    <x:row r="11" ht="24" customHeight="1">
      <x:c r="H11" s="61" t="str">
        <x:v>C  Order Review &amp; Processing</x:v>
      </x:c>
      <x:c r="I11" s="62" t="str">
        <x:v>C  Order Review &amp; Processing</x:v>
      </x:c>
      <x:c r="J11" s="63" t="str">
        <x:v>C  Order Review &amp; Processing</x:v>
      </x:c>
    </x:row>
    <x:row r="12" ht="24" customHeight="1">
      <x:c r="I12" s="143" t="str">
        <x:v>v</x:v>
      </x:c>
    </x:row>
    <x:row r="13" ht="24" customHeight="1">
      <x:c r="H13" s="83" t="str">
        <x:v>D  Engineering &amp; Production Planning</x:v>
      </x:c>
      <x:c r="I13" s="84" t="str">
        <x:v>D  Engineering &amp; Production Planning</x:v>
      </x:c>
      <x:c r="J13" s="85" t="str">
        <x:v>D  Engineering &amp; Production Planning</x:v>
      </x:c>
    </x:row>
    <x:row r="14" ht="24" customHeight="1">
      <x:c r="H14" s="86" t="str">
        <x:v>D  Engineering &amp; Production Planning</x:v>
      </x:c>
      <x:c r="I14" s="87" t="str">
        <x:v>D  Engineering &amp; Production Planning</x:v>
      </x:c>
      <x:c r="J14" s="88" t="str">
        <x:v>D  Engineering &amp; Production Planning</x:v>
      </x:c>
    </x:row>
    <x:row r="15" ht="24" customHeight="1">
      <x:c r="I15" s="143" t="str">
        <x:v>v</x:v>
      </x:c>
    </x:row>
    <x:row r="16" ht="24" customHeight="1">
      <x:c r="H16" s="109" t="str">
        <x:v>E  Purchasing &amp; Supplier Management</x:v>
      </x:c>
      <x:c r="I16" s="110" t="str">
        <x:v>E  Purchasing &amp; Supplier Management</x:v>
      </x:c>
      <x:c r="J16" s="111" t="str">
        <x:v>E  Purchasing &amp; Supplier Management</x:v>
      </x:c>
    </x:row>
    <x:row r="17" ht="24" customHeight="1">
      <x:c r="H17" s="112" t="str">
        <x:v>E  Purchasing &amp; Supplier Management</x:v>
      </x:c>
      <x:c r="I17" s="113" t="str">
        <x:v>E  Purchasing &amp; Supplier Management</x:v>
      </x:c>
      <x:c r="J17" s="114" t="str">
        <x:v>E  Purchasing &amp; Supplier Management</x:v>
      </x:c>
    </x:row>
    <x:row r="18" ht="24" customHeight="1">
      <x:c r="I18" s="143" t="str">
        <x:v>v</x:v>
      </x:c>
    </x:row>
    <x:row r="19" ht="24" customHeight="1">
      <x:c r="H19" s="109" t="str">
        <x:v>F  Receiving &amp; Material Control</x:v>
      </x:c>
      <x:c r="I19" s="110" t="str">
        <x:v>F  Receiving &amp; Material Control</x:v>
      </x:c>
      <x:c r="J19" s="111" t="str">
        <x:v>F  Receiving &amp; Material Control</x:v>
      </x:c>
    </x:row>
    <x:row r="20" ht="24" customHeight="1">
      <x:c r="H20" s="112" t="str">
        <x:v>F  Receiving &amp; Material Control</x:v>
      </x:c>
      <x:c r="I20" s="113" t="str">
        <x:v>F  Receiving &amp; Material Control</x:v>
      </x:c>
      <x:c r="J20" s="114" t="str">
        <x:v>F  Receiving &amp; Material Control</x:v>
      </x:c>
    </x:row>
    <x:row r="21" ht="24" customHeight="1">
      <x:c r="I21" s="143" t="str">
        <x:v>v</x:v>
      </x:c>
    </x:row>
    <x:row r="22" ht="24" customHeight="1">
      <x:c r="H22" s="135" t="str">
        <x:v>G  Project Management</x:v>
      </x:c>
      <x:c r="I22" s="136" t="str">
        <x:v>G  Project Management</x:v>
      </x:c>
      <x:c r="J22" s="137" t="str">
        <x:v>G  Project Management</x:v>
      </x:c>
    </x:row>
    <x:row r="23" ht="24" customHeight="1">
      <x:c r="H23" s="138" t="str">
        <x:v>G  Project Management</x:v>
      </x:c>
      <x:c r="I23" s="139" t="str">
        <x:v>G  Project Management</x:v>
      </x:c>
      <x:c r="J23" s="140" t="str">
        <x:v>G  Project Management</x:v>
      </x:c>
    </x:row>
    <x:row r="24" ht="24" customHeight="1"/>
    <x:row r="25" ht="24" customHeight="1">
      <x:c r="B25" s="145" t="str">
        <x:v>G branches into the primary manufacturing work centers</x:v>
      </x:c>
    </x:row>
    <x:row r="26" ht="24" customHeight="1"/>
    <x:row r="27" ht="24" customHeight="1">
      <x:c r="B27" s="83" t="str">
        <x:v>H  Laser &amp; Waterjet</x:v>
      </x:c>
      <x:c r="C27" s="84" t="str">
        <x:v>H  Laser &amp; Waterjet</x:v>
      </x:c>
      <x:c r="D27" s="85" t="str">
        <x:v>H  Laser &amp; Waterjet</x:v>
      </x:c>
      <x:c r="F27" s="83" t="str">
        <x:v>I  Bending</x:v>
      </x:c>
      <x:c r="G27" s="84" t="str">
        <x:v>I  Bending</x:v>
      </x:c>
      <x:c r="H27" s="85" t="str">
        <x:v>I  Bending</x:v>
      </x:c>
      <x:c r="J27" s="83" t="str">
        <x:v>J  Machining</x:v>
      </x:c>
      <x:c r="K27" s="84" t="str">
        <x:v>J  Machining</x:v>
      </x:c>
      <x:c r="L27" s="85" t="str">
        <x:v>J  Machining</x:v>
      </x:c>
      <x:c r="N27" s="83" t="str">
        <x:v>K  Welding</x:v>
      </x:c>
      <x:c r="O27" s="84" t="str">
        <x:v>K  Welding</x:v>
      </x:c>
      <x:c r="P27" s="85" t="str">
        <x:v>K  Welding</x:v>
      </x:c>
    </x:row>
    <x:row r="28" ht="24" customHeight="1">
      <x:c r="B28" s="86" t="str">
        <x:v>H  Laser &amp; Waterjet</x:v>
      </x:c>
      <x:c r="C28" s="87" t="str">
        <x:v>H  Laser &amp; Waterjet</x:v>
      </x:c>
      <x:c r="D28" s="88" t="str">
        <x:v>H  Laser &amp; Waterjet</x:v>
      </x:c>
      <x:c r="F28" s="86" t="str">
        <x:v>I  Bending</x:v>
      </x:c>
      <x:c r="G28" s="87" t="str">
        <x:v>I  Bending</x:v>
      </x:c>
      <x:c r="H28" s="88" t="str">
        <x:v>I  Bending</x:v>
      </x:c>
      <x:c r="J28" s="86" t="str">
        <x:v>J  Machining</x:v>
      </x:c>
      <x:c r="K28" s="87" t="str">
        <x:v>J  Machining</x:v>
      </x:c>
      <x:c r="L28" s="88" t="str">
        <x:v>J  Machining</x:v>
      </x:c>
      <x:c r="N28" s="86" t="str">
        <x:v>K  Welding</x:v>
      </x:c>
      <x:c r="O28" s="87" t="str">
        <x:v>K  Welding</x:v>
      </x:c>
      <x:c r="P28" s="88" t="str">
        <x:v>K  Welding</x:v>
      </x:c>
    </x:row>
    <x:row r="29" ht="24" customHeight="1"/>
    <x:row r="30" ht="24" customHeight="1">
      <x:c r="B30" s="145" t="str">
        <x:v>H, I, J, and K all feed L</x:v>
      </x:c>
    </x:row>
    <x:row r="31" ht="24" customHeight="1"/>
    <x:row r="32" ht="24" customHeight="1">
      <x:c r="H32" s="165" t="str">
        <x:v>L  Grinding &amp; Finishing</x:v>
      </x:c>
      <x:c r="I32" s="166" t="str">
        <x:v>L  Grinding &amp; Finishing</x:v>
      </x:c>
      <x:c r="J32" s="167" t="str">
        <x:v>L  Grinding &amp; Finishing</x:v>
      </x:c>
    </x:row>
    <x:row r="33" ht="24" customHeight="1">
      <x:c r="H33" s="168" t="str">
        <x:v>L  Grinding &amp; Finishing</x:v>
      </x:c>
      <x:c r="I33" s="169" t="str">
        <x:v>L  Grinding &amp; Finishing</x:v>
      </x:c>
      <x:c r="J33" s="170" t="str">
        <x:v>L  Grinding &amp; Finishing</x:v>
      </x:c>
    </x:row>
    <x:row r="34" ht="24" customHeight="1">
      <x:c r="I34" s="143" t="str">
        <x:v>v</x:v>
      </x:c>
    </x:row>
    <x:row r="35" ht="24" customHeight="1">
      <x:c r="H35" s="165" t="str">
        <x:v>M  Coatings</x:v>
      </x:c>
      <x:c r="I35" s="166" t="str">
        <x:v>M  Coatings</x:v>
      </x:c>
      <x:c r="J35" s="167" t="str">
        <x:v>M  Coatings</x:v>
      </x:c>
    </x:row>
    <x:row r="36" ht="24" customHeight="1">
      <x:c r="H36" s="168" t="str">
        <x:v>M  Coatings</x:v>
      </x:c>
      <x:c r="I36" s="169" t="str">
        <x:v>M  Coatings</x:v>
      </x:c>
      <x:c r="J36" s="170" t="str">
        <x:v>M  Coatings</x:v>
      </x:c>
    </x:row>
    <x:row r="37" ht="24" customHeight="1">
      <x:c r="I37" s="143" t="str">
        <x:v>v</x:v>
      </x:c>
    </x:row>
    <x:row r="38" ht="24" customHeight="1">
      <x:c r="H38" s="165" t="str">
        <x:v>N  Marking</x:v>
      </x:c>
      <x:c r="I38" s="166" t="str">
        <x:v>N  Marking</x:v>
      </x:c>
      <x:c r="J38" s="167" t="str">
        <x:v>N  Marking</x:v>
      </x:c>
    </x:row>
    <x:row r="39" ht="24" customHeight="1">
      <x:c r="H39" s="168" t="str">
        <x:v>N  Marking</x:v>
      </x:c>
      <x:c r="I39" s="169" t="str">
        <x:v>N  Marking</x:v>
      </x:c>
      <x:c r="J39" s="170" t="str">
        <x:v>N  Marking</x:v>
      </x:c>
    </x:row>
    <x:row r="40" ht="24" customHeight="1">
      <x:c r="I40" s="143" t="str">
        <x:v>v</x:v>
      </x:c>
    </x:row>
    <x:row r="41" ht="24" customHeight="1">
      <x:c r="H41" s="135" t="str">
        <x:v>O  Assembly</x:v>
      </x:c>
      <x:c r="I41" s="136" t="str">
        <x:v>O  Assembly</x:v>
      </x:c>
      <x:c r="J41" s="137" t="str">
        <x:v>O  Assembly</x:v>
      </x:c>
    </x:row>
    <x:row r="42" ht="24" customHeight="1">
      <x:c r="H42" s="138" t="str">
        <x:v>O  Assembly</x:v>
      </x:c>
      <x:c r="I42" s="139" t="str">
        <x:v>O  Assembly</x:v>
      </x:c>
      <x:c r="J42" s="140" t="str">
        <x:v>O  Assembly</x:v>
      </x:c>
    </x:row>
    <x:row r="43" ht="24" customHeight="1">
      <x:c r="I43" s="143" t="str">
        <x:v>v</x:v>
      </x:c>
    </x:row>
    <x:row r="44" ht="24" customHeight="1">
      <x:c r="H44" s="135" t="str">
        <x:v>P  Testing</x:v>
      </x:c>
      <x:c r="I44" s="136" t="str">
        <x:v>P  Testing</x:v>
      </x:c>
      <x:c r="J44" s="137" t="str">
        <x:v>P  Testing</x:v>
      </x:c>
    </x:row>
    <x:row r="45" ht="24" customHeight="1">
      <x:c r="H45" s="138" t="str">
        <x:v>P  Testing</x:v>
      </x:c>
      <x:c r="I45" s="139" t="str">
        <x:v>P  Testing</x:v>
      </x:c>
      <x:c r="J45" s="140" t="str">
        <x:v>P  Testing</x:v>
      </x:c>
    </x:row>
    <x:row r="46" ht="24" customHeight="1">
      <x:c r="I46" s="143" t="str">
        <x:v>v</x:v>
      </x:c>
    </x:row>
    <x:row r="47" ht="24" customHeight="1">
      <x:c r="H47" s="109" t="str">
        <x:v>Q  Final Quality Assurance</x:v>
      </x:c>
      <x:c r="I47" s="110" t="str">
        <x:v>Q  Final Quality Assurance</x:v>
      </x:c>
      <x:c r="J47" s="111" t="str">
        <x:v>Q  Final Quality Assurance</x:v>
      </x:c>
    </x:row>
    <x:row r="48" ht="24" customHeight="1">
      <x:c r="H48" s="112" t="str">
        <x:v>Q  Final Quality Assurance</x:v>
      </x:c>
      <x:c r="I48" s="113" t="str">
        <x:v>Q  Final Quality Assurance</x:v>
      </x:c>
      <x:c r="J48" s="114" t="str">
        <x:v>Q  Final Quality Assurance</x:v>
      </x:c>
    </x:row>
    <x:row r="49" ht="24" customHeight="1">
      <x:c r="I49" s="143" t="str">
        <x:v>v</x:v>
      </x:c>
    </x:row>
    <x:row r="50" ht="24" customHeight="1">
      <x:c r="H50" s="58" t="str">
        <x:v>R  Shipping &amp; Customer Delivery</x:v>
      </x:c>
      <x:c r="I50" s="59" t="str">
        <x:v>R  Shipping &amp; Customer Delivery</x:v>
      </x:c>
      <x:c r="J50" s="60" t="str">
        <x:v>R  Shipping &amp; Customer Delivery</x:v>
      </x:c>
    </x:row>
    <x:row r="51" ht="24" customHeight="1">
      <x:c r="H51" s="61" t="str">
        <x:v>R  Shipping &amp; Customer Delivery</x:v>
      </x:c>
      <x:c r="I51" s="62" t="str">
        <x:v>R  Shipping &amp; Customer Delivery</x:v>
      </x:c>
      <x:c r="J51" s="63" t="str">
        <x:v>R  Shipping &amp; Customer Delivery</x:v>
      </x:c>
    </x:row>
    <x:row r="52" ht="24" customHeight="1"/>
    <x:row r="53" ht="24" customHeight="1"/>
    <x:row r="54" ht="24" customHeight="1"/>
    <x:row r="55" ht="24" customHeight="1"/>
  </x:sheetData>
  <x:mergeCells>
    <x:mergeCell ref="B2:P2"/>
    <x:mergeCell ref="H4:J5"/>
    <x:mergeCell ref="H7:J8"/>
    <x:mergeCell ref="H10:J11"/>
    <x:mergeCell ref="H13:J14"/>
    <x:mergeCell ref="H16:J17"/>
    <x:mergeCell ref="H19:J20"/>
    <x:mergeCell ref="H22:J23"/>
    <x:mergeCell ref="B25:P25"/>
    <x:mergeCell ref="B27:D28"/>
    <x:mergeCell ref="F27:H28"/>
    <x:mergeCell ref="J27:L28"/>
    <x:mergeCell ref="N27:P28"/>
    <x:mergeCell ref="B30:P30"/>
    <x:mergeCell ref="H32:J33"/>
    <x:mergeCell ref="H35:J36"/>
    <x:mergeCell ref="H38:J39"/>
    <x:mergeCell ref="H41:J42"/>
    <x:mergeCell ref="H44:J45"/>
    <x:mergeCell ref="H47:J48"/>
    <x:mergeCell ref="H50:J5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4" hidden="0" customWidth="1"/>
    <x:col min="4" max="4" width="24" hidden="0" customWidth="1"/>
    <x:col min="5" max="5" width="12" hidden="0" customWidth="1"/>
    <x:col min="6" max="6" width="18" hidden="0" customWidth="1"/>
    <x:col min="7" max="7" width="20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3" hidden="0" customWidth="1"/>
    <x:col min="14" max="14" width="13" hidden="0" customWidth="1"/>
    <x:col min="15" max="15" width="18" hidden="0" customWidth="1"/>
    <x:col min="16" max="16" width="34" hidden="0" customWidth="1"/>
    <x:col min="17" max="17" width="46" hidden="0" customWidth="1"/>
    <x:col min="18" max="18" width="46" hidden="0" customWidth="1"/>
    <x:col min="19" max="19" width="34" hidden="0" customWidth="1"/>
  </x:cols>
  <x:sheetData>
    <x:row r="1">
      <x:c r="A1" s="11" t="str">
        <x:v>flowchart_key</x:v>
      </x:c>
      <x:c r="B1" s="11" t="str">
        <x:v>node_id</x:v>
      </x:c>
      <x:c r="C1" s="11" t="str">
        <x:v>label</x:v>
      </x:c>
      <x:c r="D1" s="11" t="str">
        <x:v>lane</x:v>
      </x:c>
      <x:c r="E1" s="11" t="str">
        <x:v>flow_stage</x:v>
      </x:c>
      <x:c r="F1" s="11" t="str">
        <x:v>node_role</x:v>
      </x:c>
      <x:c r="G1" s="11" t="str">
        <x:v>react_node_type</x:v>
      </x:c>
      <x:c r="H1" s="11" t="str">
        <x:v>status</x:v>
      </x:c>
      <x:c r="I1" s="11" t="str">
        <x:v>x</x:v>
      </x:c>
      <x:c r="J1" s="11" t="str">
        <x:v>y</x:v>
      </x:c>
      <x:c r="K1" s="11" t="str">
        <x:v>width</x:v>
      </x:c>
      <x:c r="L1" s="11" t="str">
        <x:v>height</x:v>
      </x:c>
      <x:c r="M1" s="11" t="str">
        <x:v>fill_color</x:v>
      </x:c>
      <x:c r="N1" s="11" t="str">
        <x:v>border_color</x:v>
      </x:c>
      <x:c r="O1" s="11" t="str">
        <x:v>parent_group</x:v>
      </x:c>
      <x:c r="P1" s="11" t="str">
        <x:v>detail_panel_title</x:v>
      </x:c>
      <x:c r="Q1" s="11" t="str">
        <x:v>inputs_summary</x:v>
      </x:c>
      <x:c r="R1" s="11" t="str">
        <x:v>outputs_summary</x:v>
      </x:c>
      <x:c r="S1" s="11" t="str">
        <x:v>notes</x:v>
      </x:c>
    </x:row>
    <x:row r="2">
      <x:c r="A2" s="21" t="str">
        <x:v>A</x:v>
      </x:c>
      <x:c r="B2" s="175" t="str">
        <x:v>sales_customer_opportunities</x:v>
      </x:c>
      <x:c r="C2" s="175" t="str">
        <x:v>Sales &amp; Customer Opportunities</x:v>
      </x:c>
      <x:c r="D2" s="175" t="str">
        <x:v>Sales &amp; Quoting</x:v>
      </x:c>
      <x:c r="E2" s="177" t="n">
        <x:v>1</x:v>
      </x:c>
      <x:c r="F2" s="175" t="str">
        <x:v>Input</x:v>
      </x:c>
      <x:c r="G2" s="175" t="str">
        <x:v>inputNode</x:v>
      </x:c>
      <x:c r="H2" s="175" t="str">
        <x:v>Current State</x:v>
      </x:c>
      <x:c r="I2" s="177" t="n">
        <x:v>600</x:v>
      </x:c>
      <x:c r="J2" s="177" t="n">
        <x:v>0</x:v>
      </x:c>
      <x:c r="K2" s="177" t="n">
        <x:v>280</x:v>
      </x:c>
      <x:c r="L2" s="177" t="n">
        <x:v>86</x:v>
      </x:c>
      <x:c r="M2" s="175" t="str">
        <x:v>#DBEAFE</x:v>
      </x:c>
      <x:c r="N2" s="175" t="str">
        <x:v>#2563EB</x:v>
      </x:c>
      <x:c r="O2" s="175" t="str">
        <x:v>Commercial</x:v>
      </x:c>
      <x:c r="P2" s="175" t="str">
        <x:v>Sales &amp; Customer Opportunities</x:v>
      </x:c>
      <x:c r="Q2" s="175" t="str">
        <x:v>Customer demand, RFQs, forecasts, repeat orders, market opportunities</x:v>
      </x:c>
      <x:c r="R2" s="175" t="str">
        <x:v>Qualified opportunity or RFQ package ready for estimating</x:v>
      </x:c>
      <x:c r="S2" s="22" t="str">
        <x:v>Directly maps to the Mermaid key shown in the flowchart.</x:v>
      </x:c>
    </x:row>
    <x:row r="3">
      <x:c r="A3" s="23" t="str">
        <x:v>B</x:v>
      </x:c>
      <x:c r="B3" s="176" t="str">
        <x:v>estimating_quoting</x:v>
      </x:c>
      <x:c r="C3" s="176" t="str">
        <x:v>Estimating &amp; Quoting</x:v>
      </x:c>
      <x:c r="D3" s="176" t="str">
        <x:v>Sales &amp; Quoting</x:v>
      </x:c>
      <x:c r="E3" s="178" t="n">
        <x:v>2</x:v>
      </x:c>
      <x:c r="F3" s="176" t="str">
        <x:v>Process</x:v>
      </x:c>
      <x:c r="G3" s="176" t="str">
        <x:v>processNode</x:v>
      </x:c>
      <x:c r="H3" s="176" t="str">
        <x:v>Current State</x:v>
      </x:c>
      <x:c r="I3" s="178" t="n">
        <x:v>600</x:v>
      </x:c>
      <x:c r="J3" s="178" t="n">
        <x:v>120</x:v>
      </x:c>
      <x:c r="K3" s="178" t="n">
        <x:v>280</x:v>
      </x:c>
      <x:c r="L3" s="178" t="n">
        <x:v>86</x:v>
      </x:c>
      <x:c r="M3" s="176" t="str">
        <x:v>#DBEAFE</x:v>
      </x:c>
      <x:c r="N3" s="176" t="str">
        <x:v>#2563EB</x:v>
      </x:c>
      <x:c r="O3" s="176" t="str">
        <x:v>Commercial</x:v>
      </x:c>
      <x:c r="P3" s="176" t="str">
        <x:v>Estimating &amp; Quoting</x:v>
      </x:c>
      <x:c r="Q3" s="176" t="str">
        <x:v>RFQ package, drawings, specifications, historical pricing, material assumptions</x:v>
      </x:c>
      <x:c r="R3" s="176" t="str">
        <x:v>Customer quote, assumptions, lead time, exclusions, follow-up tasks</x:v>
      </x:c>
      <x:c r="S3" s="24" t="str">
        <x:v>Directly maps to the Mermaid key shown in the flowchart.</x:v>
      </x:c>
    </x:row>
    <x:row r="4">
      <x:c r="A4" s="23" t="str">
        <x:v>C</x:v>
      </x:c>
      <x:c r="B4" s="176" t="str">
        <x:v>order_review_processing</x:v>
      </x:c>
      <x:c r="C4" s="176" t="str">
        <x:v>Order Review &amp; Processing</x:v>
      </x:c>
      <x:c r="D4" s="176" t="str">
        <x:v>Order Processing</x:v>
      </x:c>
      <x:c r="E4" s="178" t="n">
        <x:v>3</x:v>
      </x:c>
      <x:c r="F4" s="176" t="str">
        <x:v>Process</x:v>
      </x:c>
      <x:c r="G4" s="176" t="str">
        <x:v>processNode</x:v>
      </x:c>
      <x:c r="H4" s="176" t="str">
        <x:v>Current State</x:v>
      </x:c>
      <x:c r="I4" s="178" t="n">
        <x:v>600</x:v>
      </x:c>
      <x:c r="J4" s="178" t="n">
        <x:v>240</x:v>
      </x:c>
      <x:c r="K4" s="178" t="n">
        <x:v>280</x:v>
      </x:c>
      <x:c r="L4" s="178" t="n">
        <x:v>86</x:v>
      </x:c>
      <x:c r="M4" s="176" t="str">
        <x:v>#DBEAFE</x:v>
      </x:c>
      <x:c r="N4" s="176" t="str">
        <x:v>#2563EB</x:v>
      </x:c>
      <x:c r="O4" s="176" t="str">
        <x:v>Order Intake</x:v>
      </x:c>
      <x:c r="P4" s="176" t="str">
        <x:v>Order Review &amp; Processing</x:v>
      </x:c>
      <x:c r="Q4" s="176" t="str">
        <x:v>Customer purchase order, accepted quote, drawings, specifications, delivery requirements</x:v>
      </x:c>
      <x:c r="R4" s="176" t="str">
        <x:v>Accepted order, order record, due dates, contract requirements, kickoff package</x:v>
      </x:c>
      <x:c r="S4" s="24" t="str">
        <x:v>Directly maps to the Mermaid key shown in the flowchart.</x:v>
      </x:c>
    </x:row>
    <x:row r="5">
      <x:c r="A5" s="23" t="str">
        <x:v>D</x:v>
      </x:c>
      <x:c r="B5" s="176" t="str">
        <x:v>engineering_production_planning</x:v>
      </x:c>
      <x:c r="C5" s="176" t="str">
        <x:v>Engineering &amp; Production Planning</x:v>
      </x:c>
      <x:c r="D5" s="176" t="str">
        <x:v>Engineering &amp; Planning</x:v>
      </x:c>
      <x:c r="E5" s="178" t="n">
        <x:v>4</x:v>
      </x:c>
      <x:c r="F5" s="176" t="str">
        <x:v>Process</x:v>
      </x:c>
      <x:c r="G5" s="176" t="str">
        <x:v>processNode</x:v>
      </x:c>
      <x:c r="H5" s="176" t="str">
        <x:v>Current State</x:v>
      </x:c>
      <x:c r="I5" s="178" t="n">
        <x:v>600</x:v>
      </x:c>
      <x:c r="J5" s="178" t="n">
        <x:v>360</x:v>
      </x:c>
      <x:c r="K5" s="178" t="n">
        <x:v>280</x:v>
      </x:c>
      <x:c r="L5" s="178" t="n">
        <x:v>86</x:v>
      </x:c>
      <x:c r="M5" s="176" t="str">
        <x:v>#D1FAE5</x:v>
      </x:c>
      <x:c r="N5" s="176" t="str">
        <x:v>#047857</x:v>
      </x:c>
      <x:c r="O5" s="176" t="str">
        <x:v>Pre-Production</x:v>
      </x:c>
      <x:c r="P5" s="176" t="str">
        <x:v>Engineering &amp; Production Planning</x:v>
      </x:c>
      <x:c r="Q5" s="176" t="str">
        <x:v>Order package, drawings, specifications, BOM requirements, customer notes</x:v>
      </x:c>
      <x:c r="R5" s="176" t="str">
        <x:v>Production-ready job package, routings, BOMs, work instructions, programming requests</x:v>
      </x:c>
      <x:c r="S5" s="24" t="str">
        <x:v>Directly maps to the Mermaid key shown in the flowchart.</x:v>
      </x:c>
    </x:row>
    <x:row r="6">
      <x:c r="A6" s="23" t="str">
        <x:v>E</x:v>
      </x:c>
      <x:c r="B6" s="176" t="str">
        <x:v>purchasing_supplier_management</x:v>
      </x:c>
      <x:c r="C6" s="176" t="str">
        <x:v>Purchasing &amp; Supplier Management</x:v>
      </x:c>
      <x:c r="D6" s="176" t="str">
        <x:v>Supply Chain</x:v>
      </x:c>
      <x:c r="E6" s="178" t="n">
        <x:v>5</x:v>
      </x:c>
      <x:c r="F6" s="176" t="str">
        <x:v>Process</x:v>
      </x:c>
      <x:c r="G6" s="176" t="str">
        <x:v>processNode</x:v>
      </x:c>
      <x:c r="H6" s="176" t="str">
        <x:v>Current State</x:v>
      </x:c>
      <x:c r="I6" s="178" t="n">
        <x:v>600</x:v>
      </x:c>
      <x:c r="J6" s="178" t="n">
        <x:v>480</x:v>
      </x:c>
      <x:c r="K6" s="178" t="n">
        <x:v>280</x:v>
      </x:c>
      <x:c r="L6" s="178" t="n">
        <x:v>86</x:v>
      </x:c>
      <x:c r="M6" s="176" t="str">
        <x:v>#FFEDD5</x:v>
      </x:c>
      <x:c r="N6" s="176" t="str">
        <x:v>#EA580C</x:v>
      </x:c>
      <x:c r="O6" s="176" t="str">
        <x:v>Supply Chain</x:v>
      </x:c>
      <x:c r="P6" s="176" t="str">
        <x:v>Purchasing &amp; Supplier Management</x:v>
      </x:c>
      <x:c r="Q6" s="176" t="str">
        <x:v>BOM, material requirements, supplier requirements, due dates, certifications needed</x:v>
      </x:c>
      <x:c r="R6" s="176" t="str">
        <x:v>Purchase orders, supplier confirmations, material ETA, outside-process plan</x:v>
      </x:c>
      <x:c r="S6" s="24" t="str">
        <x:v>Directly maps to the Mermaid key shown in the flowchart.</x:v>
      </x:c>
    </x:row>
    <x:row r="7">
      <x:c r="A7" s="23" t="str">
        <x:v>F</x:v>
      </x:c>
      <x:c r="B7" s="176" t="str">
        <x:v>receiving_material_control</x:v>
      </x:c>
      <x:c r="C7" s="176" t="str">
        <x:v>Receiving &amp; Material Control</x:v>
      </x:c>
      <x:c r="D7" s="176" t="str">
        <x:v>Supply Chain</x:v>
      </x:c>
      <x:c r="E7" s="178" t="n">
        <x:v>6</x:v>
      </x:c>
      <x:c r="F7" s="176" t="str">
        <x:v>Process</x:v>
      </x:c>
      <x:c r="G7" s="176" t="str">
        <x:v>processNode</x:v>
      </x:c>
      <x:c r="H7" s="176" t="str">
        <x:v>Current State</x:v>
      </x:c>
      <x:c r="I7" s="178" t="n">
        <x:v>600</x:v>
      </x:c>
      <x:c r="J7" s="178" t="n">
        <x:v>600</x:v>
      </x:c>
      <x:c r="K7" s="178" t="n">
        <x:v>280</x:v>
      </x:c>
      <x:c r="L7" s="178" t="n">
        <x:v>86</x:v>
      </x:c>
      <x:c r="M7" s="176" t="str">
        <x:v>#FFEDD5</x:v>
      </x:c>
      <x:c r="N7" s="176" t="str">
        <x:v>#EA580C</x:v>
      </x:c>
      <x:c r="O7" s="176" t="str">
        <x:v>Supply Chain</x:v>
      </x:c>
      <x:c r="P7" s="176" t="str">
        <x:v>Receiving &amp; Material Control</x:v>
      </x:c>
      <x:c r="Q7" s="176" t="str">
        <x:v>Incoming material, packing slips, purchase orders, certificates, outside-process returns</x:v>
      </x:c>
      <x:c r="R7" s="176" t="str">
        <x:v>Available material, receiving records, cert package, inventory transaction, discrepancies</x:v>
      </x:c>
      <x:c r="S7" s="24" t="str">
        <x:v>Directly maps to the Mermaid key shown in the flowchart.</x:v>
      </x:c>
    </x:row>
    <x:row r="8">
      <x:c r="A8" s="23" t="str">
        <x:v>G</x:v>
      </x:c>
      <x:c r="B8" s="176" t="str">
        <x:v>project_management</x:v>
      </x:c>
      <x:c r="C8" s="176" t="str">
        <x:v>Project Management</x:v>
      </x:c>
      <x:c r="D8" s="176" t="str">
        <x:v>Project Management</x:v>
      </x:c>
      <x:c r="E8" s="178" t="n">
        <x:v>7</x:v>
      </x:c>
      <x:c r="F8" s="176" t="str">
        <x:v>Control</x:v>
      </x:c>
      <x:c r="G8" s="176" t="str">
        <x:v>controlNode</x:v>
      </x:c>
      <x:c r="H8" s="176" t="str">
        <x:v>Current State</x:v>
      </x:c>
      <x:c r="I8" s="178" t="n">
        <x:v>600</x:v>
      </x:c>
      <x:c r="J8" s="178" t="n">
        <x:v>720</x:v>
      </x:c>
      <x:c r="K8" s="178" t="n">
        <x:v>280</x:v>
      </x:c>
      <x:c r="L8" s="178" t="n">
        <x:v>86</x:v>
      </x:c>
      <x:c r="M8" s="176" t="str">
        <x:v>#EDE9FE</x:v>
      </x:c>
      <x:c r="N8" s="176" t="str">
        <x:v>#6D28D9</x:v>
      </x:c>
      <x:c r="O8" s="176" t="str">
        <x:v>Execution Control</x:v>
      </x:c>
      <x:c r="P8" s="176" t="str">
        <x:v>Project Management</x:v>
      </x:c>
      <x:c r="Q8" s="176" t="str">
        <x:v>Released job, schedule, material status, customer commitments, risk/issues list</x:v>
      </x:c>
      <x:c r="R8" s="176" t="str">
        <x:v>Released/controlled shop work, schedule updates, status reporting, issue resolution</x:v>
      </x:c>
      <x:c r="S8" s="24" t="str">
        <x:v>Directly maps to the Mermaid key shown in the flowchart.</x:v>
      </x:c>
    </x:row>
    <x:row r="9">
      <x:c r="A9" s="23" t="str">
        <x:v>H</x:v>
      </x:c>
      <x:c r="B9" s="176" t="str">
        <x:v>laser_waterjet</x:v>
      </x:c>
      <x:c r="C9" s="176" t="str">
        <x:v>Laser &amp; Waterjet</x:v>
      </x:c>
      <x:c r="D9" s="176" t="str">
        <x:v>Manufacturing</x:v>
      </x:c>
      <x:c r="E9" s="178" t="n">
        <x:v>8</x:v>
      </x:c>
      <x:c r="F9" s="176" t="str">
        <x:v>Work Center</x:v>
      </x:c>
      <x:c r="G9" s="176" t="str">
        <x:v>manufacturingNode</x:v>
      </x:c>
      <x:c r="H9" s="176" t="str">
        <x:v>Current State</x:v>
      </x:c>
      <x:c r="I9" s="178" t="n">
        <x:v>60</x:v>
      </x:c>
      <x:c r="J9" s="178" t="n">
        <x:v>900</x:v>
      </x:c>
      <x:c r="K9" s="178" t="n">
        <x:v>250</x:v>
      </x:c>
      <x:c r="L9" s="178" t="n">
        <x:v>86</x:v>
      </x:c>
      <x:c r="M9" s="176" t="str">
        <x:v>#D1FAE5</x:v>
      </x:c>
      <x:c r="N9" s="176" t="str">
        <x:v>#047857</x:v>
      </x:c>
      <x:c r="O9" s="176" t="str">
        <x:v>Fabrication</x:v>
      </x:c>
      <x:c r="P9" s="176" t="str">
        <x:v>Laser &amp; Waterjet</x:v>
      </x:c>
      <x:c r="Q9" s="176" t="str">
        <x:v>Released cut files, material, nesting plan, job traveler, inspection criteria</x:v>
      </x:c>
      <x:c r="R9" s="176" t="str">
        <x:v>Cut parts, remnants/scrap data, completion status, first-piece/in-process records</x:v>
      </x:c>
      <x:c r="S9" s="24" t="str">
        <x:v>Directly maps to the Mermaid key shown in the flowchart.</x:v>
      </x:c>
    </x:row>
    <x:row r="10">
      <x:c r="A10" s="23" t="str">
        <x:v>I</x:v>
      </x:c>
      <x:c r="B10" s="176" t="str">
        <x:v>bending</x:v>
      </x:c>
      <x:c r="C10" s="176" t="str">
        <x:v>Bending</x:v>
      </x:c>
      <x:c r="D10" s="176" t="str">
        <x:v>Manufacturing</x:v>
      </x:c>
      <x:c r="E10" s="178" t="n">
        <x:v>8</x:v>
      </x:c>
      <x:c r="F10" s="176" t="str">
        <x:v>Work Center</x:v>
      </x:c>
      <x:c r="G10" s="176" t="str">
        <x:v>manufacturingNode</x:v>
      </x:c>
      <x:c r="H10" s="176" t="str">
        <x:v>Current State</x:v>
      </x:c>
      <x:c r="I10" s="178" t="n">
        <x:v>420</x:v>
      </x:c>
      <x:c r="J10" s="178" t="n">
        <x:v>900</x:v>
      </x:c>
      <x:c r="K10" s="178" t="n">
        <x:v>250</x:v>
      </x:c>
      <x:c r="L10" s="178" t="n">
        <x:v>86</x:v>
      </x:c>
      <x:c r="M10" s="176" t="str">
        <x:v>#D1FAE5</x:v>
      </x:c>
      <x:c r="N10" s="176" t="str">
        <x:v>#047857</x:v>
      </x:c>
      <x:c r="O10" s="176" t="str">
        <x:v>Fabrication</x:v>
      </x:c>
      <x:c r="P10" s="176" t="str">
        <x:v>Bending</x:v>
      </x:c>
      <x:c r="Q10" s="176" t="str">
        <x:v>Cut parts, bend programs, tooling requirements, drawings, setup instructions</x:v>
      </x:c>
      <x:c r="R10" s="176" t="str">
        <x:v>Formed parts, production status, setup notes, dimensional checks</x:v>
      </x:c>
      <x:c r="S10" s="24" t="str">
        <x:v>Directly maps to the Mermaid key shown in the flowchart.</x:v>
      </x:c>
    </x:row>
    <x:row r="11">
      <x:c r="A11" s="23" t="str">
        <x:v>J</x:v>
      </x:c>
      <x:c r="B11" s="176" t="str">
        <x:v>machining</x:v>
      </x:c>
      <x:c r="C11" s="176" t="str">
        <x:v>Machining</x:v>
      </x:c>
      <x:c r="D11" s="176" t="str">
        <x:v>Manufacturing</x:v>
      </x:c>
      <x:c r="E11" s="178" t="n">
        <x:v>8</x:v>
      </x:c>
      <x:c r="F11" s="176" t="str">
        <x:v>Work Center</x:v>
      </x:c>
      <x:c r="G11" s="176" t="str">
        <x:v>manufacturingNode</x:v>
      </x:c>
      <x:c r="H11" s="176" t="str">
        <x:v>Current State</x:v>
      </x:c>
      <x:c r="I11" s="178" t="n">
        <x:v>780</x:v>
      </x:c>
      <x:c r="J11" s="178" t="n">
        <x:v>900</x:v>
      </x:c>
      <x:c r="K11" s="178" t="n">
        <x:v>250</x:v>
      </x:c>
      <x:c r="L11" s="178" t="n">
        <x:v>86</x:v>
      </x:c>
      <x:c r="M11" s="176" t="str">
        <x:v>#D1FAE5</x:v>
      </x:c>
      <x:c r="N11" s="176" t="str">
        <x:v>#047857</x:v>
      </x:c>
      <x:c r="O11" s="176" t="str">
        <x:v>Fabrication</x:v>
      </x:c>
      <x:c r="P11" s="176" t="str">
        <x:v>Machining</x:v>
      </x:c>
      <x:c r="Q11" s="176" t="str">
        <x:v>Material/parts, CNC programs, tooling, drawings, inspection requirements</x:v>
      </x:c>
      <x:c r="R11" s="176" t="str">
        <x:v>Machined parts, inspection records, setup/cycle notes, work-center status</x:v>
      </x:c>
      <x:c r="S11" s="24" t="str">
        <x:v>Directly maps to the Mermaid key shown in the flowchart.</x:v>
      </x:c>
    </x:row>
    <x:row r="12">
      <x:c r="A12" s="23" t="str">
        <x:v>K</x:v>
      </x:c>
      <x:c r="B12" s="176" t="str">
        <x:v>welding</x:v>
      </x:c>
      <x:c r="C12" s="176" t="str">
        <x:v>Welding</x:v>
      </x:c>
      <x:c r="D12" s="176" t="str">
        <x:v>Manufacturing</x:v>
      </x:c>
      <x:c r="E12" s="178" t="n">
        <x:v>8</x:v>
      </x:c>
      <x:c r="F12" s="176" t="str">
        <x:v>Work Center</x:v>
      </x:c>
      <x:c r="G12" s="176" t="str">
        <x:v>manufacturingNode</x:v>
      </x:c>
      <x:c r="H12" s="176" t="str">
        <x:v>Current State</x:v>
      </x:c>
      <x:c r="I12" s="178" t="n">
        <x:v>1140</x:v>
      </x:c>
      <x:c r="J12" s="178" t="n">
        <x:v>900</x:v>
      </x:c>
      <x:c r="K12" s="178" t="n">
        <x:v>250</x:v>
      </x:c>
      <x:c r="L12" s="178" t="n">
        <x:v>86</x:v>
      </x:c>
      <x:c r="M12" s="176" t="str">
        <x:v>#D1FAE5</x:v>
      </x:c>
      <x:c r="N12" s="176" t="str">
        <x:v>#047857</x:v>
      </x:c>
      <x:c r="O12" s="176" t="str">
        <x:v>Fabrication</x:v>
      </x:c>
      <x:c r="P12" s="176" t="str">
        <x:v>Welding</x:v>
      </x:c>
      <x:c r="Q12" s="176" t="str">
        <x:v>Cut/formed/machined parts, weld procedures, fixtures, qualifications, drawings</x:v>
      </x:c>
      <x:c r="R12" s="176" t="str">
        <x:v>Welded assemblies, weld records, inspection status, rework/nonconformance triggers</x:v>
      </x:c>
      <x:c r="S12" s="24" t="str">
        <x:v>Directly maps to the Mermaid key shown in the flowchart.</x:v>
      </x:c>
    </x:row>
    <x:row r="13">
      <x:c r="A13" s="23" t="str">
        <x:v>L</x:v>
      </x:c>
      <x:c r="B13" s="176" t="str">
        <x:v>grinding_finishing</x:v>
      </x:c>
      <x:c r="C13" s="176" t="str">
        <x:v>Grinding &amp; Finishing</x:v>
      </x:c>
      <x:c r="D13" s="176" t="str">
        <x:v>Finishing &amp; Special Processes</x:v>
      </x:c>
      <x:c r="E13" s="178" t="n">
        <x:v>9</x:v>
      </x:c>
      <x:c r="F13" s="176" t="str">
        <x:v>Convergence</x:v>
      </x:c>
      <x:c r="G13" s="176" t="str">
        <x:v>processNode</x:v>
      </x:c>
      <x:c r="H13" s="176" t="str">
        <x:v>Current State</x:v>
      </x:c>
      <x:c r="I13" s="178" t="n">
        <x:v>600</x:v>
      </x:c>
      <x:c r="J13" s="178" t="n">
        <x:v>1080</x:v>
      </x:c>
      <x:c r="K13" s="178" t="n">
        <x:v>280</x:v>
      </x:c>
      <x:c r="L13" s="178" t="n">
        <x:v>86</x:v>
      </x:c>
      <x:c r="M13" s="176" t="str">
        <x:v>#F1F5F9</x:v>
      </x:c>
      <x:c r="N13" s="176" t="str">
        <x:v>#475569</x:v>
      </x:c>
      <x:c r="O13" s="176" t="str">
        <x:v>Finishing</x:v>
      </x:c>
      <x:c r="P13" s="176" t="str">
        <x:v>Grinding &amp; Finishing</x:v>
      </x:c>
      <x:c r="Q13" s="176" t="str">
        <x:v>Fabricated parts/assemblies, finish requirements, rework notes, inspection requirements</x:v>
      </x:c>
      <x:c r="R13" s="176" t="str">
        <x:v>Finished parts ready for coating/marking/assembly, finish status, rework notes</x:v>
      </x:c>
      <x:c r="S13" s="24" t="str">
        <x:v>Directly maps to the Mermaid key shown in the flowchart.</x:v>
      </x:c>
    </x:row>
    <x:row r="14">
      <x:c r="A14" s="23" t="str">
        <x:v>M</x:v>
      </x:c>
      <x:c r="B14" s="176" t="str">
        <x:v>coatings</x:v>
      </x:c>
      <x:c r="C14" s="176" t="str">
        <x:v>Coatings</x:v>
      </x:c>
      <x:c r="D14" s="176" t="str">
        <x:v>Finishing &amp; Special Processes</x:v>
      </x:c>
      <x:c r="E14" s="178" t="n">
        <x:v>10</x:v>
      </x:c>
      <x:c r="F14" s="176" t="str">
        <x:v>Process</x:v>
      </x:c>
      <x:c r="G14" s="176" t="str">
        <x:v>processNode</x:v>
      </x:c>
      <x:c r="H14" s="176" t="str">
        <x:v>Current State</x:v>
      </x:c>
      <x:c r="I14" s="178" t="n">
        <x:v>600</x:v>
      </x:c>
      <x:c r="J14" s="178" t="n">
        <x:v>1200</x:v>
      </x:c>
      <x:c r="K14" s="178" t="n">
        <x:v>280</x:v>
      </x:c>
      <x:c r="L14" s="178" t="n">
        <x:v>86</x:v>
      </x:c>
      <x:c r="M14" s="176" t="str">
        <x:v>#F1F5F9</x:v>
      </x:c>
      <x:c r="N14" s="176" t="str">
        <x:v>#475569</x:v>
      </x:c>
      <x:c r="O14" s="176" t="str">
        <x:v>Finishing</x:v>
      </x:c>
      <x:c r="P14" s="176" t="str">
        <x:v>Coatings</x:v>
      </x:c>
      <x:c r="Q14" s="176" t="str">
        <x:v>Finished parts, coating specifications, color/finish requirements, supplier/internal route</x:v>
      </x:c>
      <x:c r="R14" s="176" t="str">
        <x:v>Coated parts, coating records/certs, status update, discrepancy record if needed</x:v>
      </x:c>
      <x:c r="S14" s="24" t="str">
        <x:v>Directly maps to the Mermaid key shown in the flowchart.</x:v>
      </x:c>
    </x:row>
    <x:row r="15">
      <x:c r="A15" s="23" t="str">
        <x:v>N</x:v>
      </x:c>
      <x:c r="B15" s="176" t="str">
        <x:v>marking</x:v>
      </x:c>
      <x:c r="C15" s="176" t="str">
        <x:v>Marking</x:v>
      </x:c>
      <x:c r="D15" s="176" t="str">
        <x:v>Finishing &amp; Special Processes</x:v>
      </x:c>
      <x:c r="E15" s="178" t="n">
        <x:v>11</x:v>
      </x:c>
      <x:c r="F15" s="176" t="str">
        <x:v>Process</x:v>
      </x:c>
      <x:c r="G15" s="176" t="str">
        <x:v>processNode</x:v>
      </x:c>
      <x:c r="H15" s="176" t="str">
        <x:v>Current State</x:v>
      </x:c>
      <x:c r="I15" s="178" t="n">
        <x:v>600</x:v>
      </x:c>
      <x:c r="J15" s="178" t="n">
        <x:v>1320</x:v>
      </x:c>
      <x:c r="K15" s="178" t="n">
        <x:v>280</x:v>
      </x:c>
      <x:c r="L15" s="178" t="n">
        <x:v>86</x:v>
      </x:c>
      <x:c r="M15" s="176" t="str">
        <x:v>#F1F5F9</x:v>
      </x:c>
      <x:c r="N15" s="176" t="str">
        <x:v>#475569</x:v>
      </x:c>
      <x:c r="O15" s="176" t="str">
        <x:v>Finishing</x:v>
      </x:c>
      <x:c r="P15" s="176" t="str">
        <x:v>Marking</x:v>
      </x:c>
      <x:c r="Q15" s="176" t="str">
        <x:v>Coated/finished parts, marking requirements, artwork, labels, serialization data</x:v>
      </x:c>
      <x:c r="R15" s="176" t="str">
        <x:v>Marked parts, marking records, serialization/trace data, inspection status</x:v>
      </x:c>
      <x:c r="S15" s="24" t="str">
        <x:v>Directly maps to the Mermaid key shown in the flowchart.</x:v>
      </x:c>
    </x:row>
    <x:row r="16">
      <x:c r="A16" s="23" t="str">
        <x:v>O</x:v>
      </x:c>
      <x:c r="B16" s="176" t="str">
        <x:v>assembly</x:v>
      </x:c>
      <x:c r="C16" s="176" t="str">
        <x:v>Assembly</x:v>
      </x:c>
      <x:c r="D16" s="176" t="str">
        <x:v>Assembly &amp; Test</x:v>
      </x:c>
      <x:c r="E16" s="178" t="n">
        <x:v>12</x:v>
      </x:c>
      <x:c r="F16" s="176" t="str">
        <x:v>Process</x:v>
      </x:c>
      <x:c r="G16" s="176" t="str">
        <x:v>processNode</x:v>
      </x:c>
      <x:c r="H16" s="176" t="str">
        <x:v>Current State</x:v>
      </x:c>
      <x:c r="I16" s="178" t="n">
        <x:v>600</x:v>
      </x:c>
      <x:c r="J16" s="178" t="n">
        <x:v>1440</x:v>
      </x:c>
      <x:c r="K16" s="178" t="n">
        <x:v>280</x:v>
      </x:c>
      <x:c r="L16" s="178" t="n">
        <x:v>86</x:v>
      </x:c>
      <x:c r="M16" s="176" t="str">
        <x:v>#EDE9FE</x:v>
      </x:c>
      <x:c r="N16" s="176" t="str">
        <x:v>#6D28D9</x:v>
      </x:c>
      <x:c r="O16" s="176" t="str">
        <x:v>Assembly</x:v>
      </x:c>
      <x:c r="P16" s="176" t="str">
        <x:v>Assembly</x:v>
      </x:c>
      <x:c r="Q16" s="176" t="str">
        <x:v>Kitted parts, work instructions, hardware, wiring, tools, drawings, shortages list</x:v>
      </x:c>
      <x:c r="R16" s="176" t="str">
        <x:v>Completed assembly, build records, shortage/rework notes, test-ready unit</x:v>
      </x:c>
      <x:c r="S16" s="24" t="str">
        <x:v>Directly maps to the Mermaid key shown in the flowchart.</x:v>
      </x:c>
    </x:row>
    <x:row r="17">
      <x:c r="A17" s="23" t="str">
        <x:v>P</x:v>
      </x:c>
      <x:c r="B17" s="176" t="str">
        <x:v>testing</x:v>
      </x:c>
      <x:c r="C17" s="176" t="str">
        <x:v>Testing</x:v>
      </x:c>
      <x:c r="D17" s="176" t="str">
        <x:v>Assembly &amp; Test</x:v>
      </x:c>
      <x:c r="E17" s="178" t="n">
        <x:v>13</x:v>
      </x:c>
      <x:c r="F17" s="176" t="str">
        <x:v>Quality Gate</x:v>
      </x:c>
      <x:c r="G17" s="176" t="str">
        <x:v>qualityGateNode</x:v>
      </x:c>
      <x:c r="H17" s="176" t="str">
        <x:v>Current State</x:v>
      </x:c>
      <x:c r="I17" s="178" t="n">
        <x:v>600</x:v>
      </x:c>
      <x:c r="J17" s="178" t="n">
        <x:v>1560</x:v>
      </x:c>
      <x:c r="K17" s="178" t="n">
        <x:v>280</x:v>
      </x:c>
      <x:c r="L17" s="178" t="n">
        <x:v>86</x:v>
      </x:c>
      <x:c r="M17" s="176" t="str">
        <x:v>#EDE9FE</x:v>
      </x:c>
      <x:c r="N17" s="176" t="str">
        <x:v>#6D28D9</x:v>
      </x:c>
      <x:c r="O17" s="176" t="str">
        <x:v>Assembly</x:v>
      </x:c>
      <x:c r="P17" s="176" t="str">
        <x:v>Testing</x:v>
      </x:c>
      <x:c r="Q17" s="176" t="str">
        <x:v>Completed assembly, test procedure, equipment, acceptance criteria, customer requirements</x:v>
      </x:c>
      <x:c r="R17" s="176" t="str">
        <x:v>Test results, accepted/rejected status, rework actions, final inspection package</x:v>
      </x:c>
      <x:c r="S17" s="24" t="str">
        <x:v>Directly maps to the Mermaid key shown in the flowchart.</x:v>
      </x:c>
    </x:row>
    <x:row r="18">
      <x:c r="A18" s="23" t="str">
        <x:v>Q</x:v>
      </x:c>
      <x:c r="B18" s="176" t="str">
        <x:v>final_quality_assurance</x:v>
      </x:c>
      <x:c r="C18" s="176" t="str">
        <x:v>Final Quality Assurance</x:v>
      </x:c>
      <x:c r="D18" s="176" t="str">
        <x:v>Quality Assurance</x:v>
      </x:c>
      <x:c r="E18" s="178" t="n">
        <x:v>14</x:v>
      </x:c>
      <x:c r="F18" s="176" t="str">
        <x:v>Quality Gate</x:v>
      </x:c>
      <x:c r="G18" s="176" t="str">
        <x:v>qualityGateNode</x:v>
      </x:c>
      <x:c r="H18" s="176" t="str">
        <x:v>Current State</x:v>
      </x:c>
      <x:c r="I18" s="178" t="n">
        <x:v>600</x:v>
      </x:c>
      <x:c r="J18" s="178" t="n">
        <x:v>1680</x:v>
      </x:c>
      <x:c r="K18" s="178" t="n">
        <x:v>280</x:v>
      </x:c>
      <x:c r="L18" s="178" t="n">
        <x:v>86</x:v>
      </x:c>
      <x:c r="M18" s="176" t="str">
        <x:v>#FFEDD5</x:v>
      </x:c>
      <x:c r="N18" s="176" t="str">
        <x:v>#EA580C</x:v>
      </x:c>
      <x:c r="O18" s="176" t="str">
        <x:v>Quality</x:v>
      </x:c>
      <x:c r="P18" s="176" t="str">
        <x:v>Final Quality Assurance</x:v>
      </x:c>
      <x:c r="Q18" s="176" t="str">
        <x:v>Completed/tested item, traveler, cert package, inspection plan, customer requirements</x:v>
      </x:c>
      <x:c r="R18" s="176" t="str">
        <x:v>Accepted product, final documentation package, shipping release or rework instruction</x:v>
      </x:c>
      <x:c r="S18" s="24" t="str">
        <x:v>Directly maps to the Mermaid key shown in the flowchart.</x:v>
      </x:c>
    </x:row>
    <x:row r="19">
      <x:c r="A19" s="23" t="str">
        <x:v>R</x:v>
      </x:c>
      <x:c r="B19" s="176" t="str">
        <x:v>shipping_customer_delivery</x:v>
      </x:c>
      <x:c r="C19" s="176" t="str">
        <x:v>Shipping &amp; Customer Delivery</x:v>
      </x:c>
      <x:c r="D19" s="176" t="str">
        <x:v>Shipping</x:v>
      </x:c>
      <x:c r="E19" s="178" t="n">
        <x:v>15</x:v>
      </x:c>
      <x:c r="F19" s="176" t="str">
        <x:v>Output</x:v>
      </x:c>
      <x:c r="G19" s="176" t="str">
        <x:v>outputNode</x:v>
      </x:c>
      <x:c r="H19" s="176" t="str">
        <x:v>Current State</x:v>
      </x:c>
      <x:c r="I19" s="178" t="n">
        <x:v>600</x:v>
      </x:c>
      <x:c r="J19" s="178" t="n">
        <x:v>1800</x:v>
      </x:c>
      <x:c r="K19" s="178" t="n">
        <x:v>280</x:v>
      </x:c>
      <x:c r="L19" s="178" t="n">
        <x:v>86</x:v>
      </x:c>
      <x:c r="M19" s="176" t="str">
        <x:v>#DBEAFE</x:v>
      </x:c>
      <x:c r="N19" s="176" t="str">
        <x:v>#2563EB</x:v>
      </x:c>
      <x:c r="O19" s="176" t="str">
        <x:v>Fulfillment</x:v>
      </x:c>
      <x:c r="P19" s="176" t="str">
        <x:v>Shipping &amp; Customer Delivery</x:v>
      </x:c>
      <x:c r="Q19" s="176" t="str">
        <x:v>Released product, packing requirements, shipment documents, customer delivery requirements</x:v>
      </x:c>
      <x:c r="R19" s="176" t="str">
        <x:v>Customer shipment, tracking information, delivery records, invoice trigger</x:v>
      </x:c>
      <x:c r="S19" s="24" t="str">
        <x:v>Directly maps to the Mermaid key shown in the flowchart.</x:v>
      </x:c>
    </x:row>
  </x:sheetData>
  <x:dataValidations count="4">
    <x:dataValidation type="list" sqref="D2:D19">
      <x:formula1>"Sales &amp; Quoting,Order Processing,Engineering &amp; Planning,Supply Chain,Project Management,Manufacturing,Finishing &amp; Special Processes,Assembly &amp; Test,Quality Assurance,Shipping"</x:formula1>
    </x:dataValidation>
    <x:dataValidation type="list" sqref="F2:F19">
      <x:formula1>"Input,Process,Control,Work Center,Convergence,Quality Gate,Output"</x:formula1>
    </x:dataValidation>
    <x:dataValidation type="list" sqref="G2:G19">
      <x:formula1>"inputNode,processNode,controlNode,manufacturingNode,qualityGateNode,outputNode"</x:formula1>
    </x:dataValidation>
    <x:dataValidation type="list" sqref="H2:H19">
      <x:formula1>"Current State,In Review,Active Project,Future Opportunity,Not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73844bbb2442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32" hidden="0" customWidth="1"/>
    <x:col min="5" max="5" width="32" hidden="0" customWidth="1"/>
    <x:col min="6" max="6" width="30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16" hidden="0" customWidth="1"/>
    <x:col min="12" max="12" width="20" hidden="0" customWidth="1"/>
    <x:col min="13" max="13" width="46" hidden="0" customWidth="1"/>
    <x:col min="14" max="14" width="36" hidden="0" customWidth="1"/>
  </x:cols>
  <x:sheetData>
    <x:row r="1">
      <x:c r="A1" s="11" t="str">
        <x:v>edge_id</x:v>
      </x:c>
      <x:c r="B1" s="11" t="str">
        <x:v>source_key</x:v>
      </x:c>
      <x:c r="C1" s="11" t="str">
        <x:v>target_key</x:v>
      </x:c>
      <x:c r="D1" s="11" t="str">
        <x:v>source_node_id</x:v>
      </x:c>
      <x:c r="E1" s="11" t="str">
        <x:v>target_node_id</x:v>
      </x:c>
      <x:c r="F1" s="11" t="str">
        <x:v>label</x:v>
      </x:c>
      <x:c r="G1" s="11" t="str">
        <x:v>edge_type</x:v>
      </x:c>
      <x:c r="H1" s="11" t="str">
        <x:v>animated</x:v>
      </x:c>
      <x:c r="I1" s="11" t="str">
        <x:v>stroke_color</x:v>
      </x:c>
      <x:c r="J1" s="11" t="str">
        <x:v>source_handle</x:v>
      </x:c>
      <x:c r="K1" s="11" t="str">
        <x:v>target_handle</x:v>
      </x:c>
      <x:c r="L1" s="11" t="str">
        <x:v>handoff_type</x:v>
      </x:c>
      <x:c r="M1" s="11" t="str">
        <x:v>data_material_handoff</x:v>
      </x:c>
      <x:c r="N1" s="11" t="str">
        <x:v>notes</x:v>
      </x:c>
    </x:row>
    <x:row r="2">
      <x:c r="A2" s="21" t="str">
        <x:v>e_sales_customer_opportunities_to_estimating_quoting</x:v>
      </x:c>
      <x:c r="B2" s="175" t="str">
        <x:v>A</x:v>
      </x:c>
      <x:c r="C2" s="175" t="str">
        <x:v>B</x:v>
      </x:c>
      <x:c r="D2" s="175" t="str">
        <x:v>sales_customer_opportunities</x:v>
      </x:c>
      <x:c r="E2" s="175" t="str">
        <x:v>estimating_quoting</x:v>
      </x:c>
      <x:c r="F2" s="175" t="str"/>
      <x:c r="G2" s="175" t="str">
        <x:v>smoothstep</x:v>
      </x:c>
      <x:c r="H2" s="185" t="b">
        <x:v>0</x:v>
      </x:c>
      <x:c r="I2" s="175" t="str">
        <x:v>#64748B</x:v>
      </x:c>
      <x:c r="J2" s="175" t="str"/>
      <x:c r="K2" s="175" t="str"/>
      <x:c r="L2" s="175" t="str">
        <x:v>Information + status</x:v>
      </x:c>
      <x:c r="M2" s="175" t="str">
        <x:v>Sales &amp; Customer Opportunities to Estimating &amp; Quoting</x:v>
      </x:c>
      <x:c r="N2" s="22" t="str">
        <x:v>Confirm exact handoff details with process owner.</x:v>
      </x:c>
    </x:row>
    <x:row r="3">
      <x:c r="A3" s="23" t="str">
        <x:v>e_estimating_quoting_to_order_review_processing</x:v>
      </x:c>
      <x:c r="B3" s="176" t="str">
        <x:v>B</x:v>
      </x:c>
      <x:c r="C3" s="176" t="str">
        <x:v>C</x:v>
      </x:c>
      <x:c r="D3" s="176" t="str">
        <x:v>estimating_quoting</x:v>
      </x:c>
      <x:c r="E3" s="176" t="str">
        <x:v>order_review_processing</x:v>
      </x:c>
      <x:c r="F3" s="176" t="str"/>
      <x:c r="G3" s="176" t="str">
        <x:v>smoothstep</x:v>
      </x:c>
      <x:c r="H3" s="186" t="b">
        <x:v>0</x:v>
      </x:c>
      <x:c r="I3" s="176" t="str">
        <x:v>#64748B</x:v>
      </x:c>
      <x:c r="J3" s="176" t="str"/>
      <x:c r="K3" s="176" t="str"/>
      <x:c r="L3" s="176" t="str">
        <x:v>Information + status</x:v>
      </x:c>
      <x:c r="M3" s="176" t="str">
        <x:v>Estimating &amp; Quoting to Order Review &amp; Processing</x:v>
      </x:c>
      <x:c r="N3" s="24" t="str">
        <x:v>Confirm exact handoff details with process owner.</x:v>
      </x:c>
    </x:row>
    <x:row r="4">
      <x:c r="A4" s="23" t="str">
        <x:v>e_order_review_processing_to_engineering_production_planning</x:v>
      </x:c>
      <x:c r="B4" s="176" t="str">
        <x:v>C</x:v>
      </x:c>
      <x:c r="C4" s="176" t="str">
        <x:v>D</x:v>
      </x:c>
      <x:c r="D4" s="176" t="str">
        <x:v>order_review_processing</x:v>
      </x:c>
      <x:c r="E4" s="176" t="str">
        <x:v>engineering_production_planning</x:v>
      </x:c>
      <x:c r="F4" s="176" t="str"/>
      <x:c r="G4" s="176" t="str">
        <x:v>smoothstep</x:v>
      </x:c>
      <x:c r="H4" s="186" t="b">
        <x:v>0</x:v>
      </x:c>
      <x:c r="I4" s="176" t="str">
        <x:v>#64748B</x:v>
      </x:c>
      <x:c r="J4" s="176" t="str"/>
      <x:c r="K4" s="176" t="str"/>
      <x:c r="L4" s="176" t="str">
        <x:v>Information + status</x:v>
      </x:c>
      <x:c r="M4" s="176" t="str">
        <x:v>Order Review &amp; Processing to Engineering &amp; Production Planning</x:v>
      </x:c>
      <x:c r="N4" s="24" t="str">
        <x:v>Confirm exact handoff details with process owner.</x:v>
      </x:c>
    </x:row>
    <x:row r="5">
      <x:c r="A5" s="23" t="str">
        <x:v>e_engineering_production_planning_to_purchasing_supplier_management</x:v>
      </x:c>
      <x:c r="B5" s="176" t="str">
        <x:v>D</x:v>
      </x:c>
      <x:c r="C5" s="176" t="str">
        <x:v>E</x:v>
      </x:c>
      <x:c r="D5" s="176" t="str">
        <x:v>engineering_production_planning</x:v>
      </x:c>
      <x:c r="E5" s="176" t="str">
        <x:v>purchasing_supplier_management</x:v>
      </x:c>
      <x:c r="F5" s="176" t="str"/>
      <x:c r="G5" s="176" t="str">
        <x:v>smoothstep</x:v>
      </x:c>
      <x:c r="H5" s="186" t="b">
        <x:v>0</x:v>
      </x:c>
      <x:c r="I5" s="176" t="str">
        <x:v>#64748B</x:v>
      </x:c>
      <x:c r="J5" s="176" t="str"/>
      <x:c r="K5" s="176" t="str"/>
      <x:c r="L5" s="176" t="str">
        <x:v>Information + status</x:v>
      </x:c>
      <x:c r="M5" s="176" t="str">
        <x:v>Engineering &amp; Production Planning to Purchasing &amp; Supplier Management</x:v>
      </x:c>
      <x:c r="N5" s="24" t="str">
        <x:v>Confirm exact handoff details with process owner.</x:v>
      </x:c>
    </x:row>
    <x:row r="6">
      <x:c r="A6" s="23" t="str">
        <x:v>e_purchasing_supplier_management_to_receiving_material_control</x:v>
      </x:c>
      <x:c r="B6" s="176" t="str">
        <x:v>E</x:v>
      </x:c>
      <x:c r="C6" s="176" t="str">
        <x:v>F</x:v>
      </x:c>
      <x:c r="D6" s="176" t="str">
        <x:v>purchasing_supplier_management</x:v>
      </x:c>
      <x:c r="E6" s="176" t="str">
        <x:v>receiving_material_control</x:v>
      </x:c>
      <x:c r="F6" s="176" t="str"/>
      <x:c r="G6" s="176" t="str">
        <x:v>smoothstep</x:v>
      </x:c>
      <x:c r="H6" s="186" t="b">
        <x:v>0</x:v>
      </x:c>
      <x:c r="I6" s="176" t="str">
        <x:v>#64748B</x:v>
      </x:c>
      <x:c r="J6" s="176" t="str"/>
      <x:c r="K6" s="176" t="str"/>
      <x:c r="L6" s="176" t="str">
        <x:v>Information + status</x:v>
      </x:c>
      <x:c r="M6" s="176" t="str">
        <x:v>Purchasing &amp; Supplier Management to Receiving &amp; Material Control</x:v>
      </x:c>
      <x:c r="N6" s="24" t="str">
        <x:v>Confirm exact handoff details with process owner.</x:v>
      </x:c>
    </x:row>
    <x:row r="7">
      <x:c r="A7" s="23" t="str">
        <x:v>e_receiving_material_control_to_project_management</x:v>
      </x:c>
      <x:c r="B7" s="176" t="str">
        <x:v>F</x:v>
      </x:c>
      <x:c r="C7" s="176" t="str">
        <x:v>G</x:v>
      </x:c>
      <x:c r="D7" s="176" t="str">
        <x:v>receiving_material_control</x:v>
      </x:c>
      <x:c r="E7" s="176" t="str">
        <x:v>project_management</x:v>
      </x:c>
      <x:c r="F7" s="176" t="str"/>
      <x:c r="G7" s="176" t="str">
        <x:v>smoothstep</x:v>
      </x:c>
      <x:c r="H7" s="186" t="b">
        <x:v>0</x:v>
      </x:c>
      <x:c r="I7" s="176" t="str">
        <x:v>#64748B</x:v>
      </x:c>
      <x:c r="J7" s="176" t="str"/>
      <x:c r="K7" s="176" t="str"/>
      <x:c r="L7" s="176" t="str">
        <x:v>Information + status</x:v>
      </x:c>
      <x:c r="M7" s="176" t="str">
        <x:v>Receiving &amp; Material Control to Project Management</x:v>
      </x:c>
      <x:c r="N7" s="24" t="str">
        <x:v>Confirm exact handoff details with process owner.</x:v>
      </x:c>
    </x:row>
    <x:row r="8">
      <x:c r="A8" s="23" t="str">
        <x:v>e_project_management_to_laser_waterjet</x:v>
      </x:c>
      <x:c r="B8" s="176" t="str">
        <x:v>G</x:v>
      </x:c>
      <x:c r="C8" s="176" t="str">
        <x:v>H</x:v>
      </x:c>
      <x:c r="D8" s="176" t="str">
        <x:v>project_management</x:v>
      </x:c>
      <x:c r="E8" s="176" t="str">
        <x:v>laser_waterjet</x:v>
      </x:c>
      <x:c r="F8" s="176" t="str">
        <x:v>Release to laser/waterjet</x:v>
      </x:c>
      <x:c r="G8" s="176" t="str">
        <x:v>smoothstep</x:v>
      </x:c>
      <x:c r="H8" s="186" t="b">
        <x:v>0</x:v>
      </x:c>
      <x:c r="I8" s="176" t="str">
        <x:v>#64748B</x:v>
      </x:c>
      <x:c r="J8" s="176" t="str"/>
      <x:c r="K8" s="176" t="str"/>
      <x:c r="L8" s="176" t="str">
        <x:v>Material + status</x:v>
      </x:c>
      <x:c r="M8" s="176" t="str">
        <x:v>Project Management to Laser &amp; Waterjet</x:v>
      </x:c>
      <x:c r="N8" s="24" t="str">
        <x:v>Confirm exact handoff details with process owner.</x:v>
      </x:c>
    </x:row>
    <x:row r="9">
      <x:c r="A9" s="23" t="str">
        <x:v>e_project_management_to_bending</x:v>
      </x:c>
      <x:c r="B9" s="176" t="str">
        <x:v>G</x:v>
      </x:c>
      <x:c r="C9" s="176" t="str">
        <x:v>I</x:v>
      </x:c>
      <x:c r="D9" s="176" t="str">
        <x:v>project_management</x:v>
      </x:c>
      <x:c r="E9" s="176" t="str">
        <x:v>bending</x:v>
      </x:c>
      <x:c r="F9" s="176" t="str">
        <x:v>Release to bending</x:v>
      </x:c>
      <x:c r="G9" s="176" t="str">
        <x:v>smoothstep</x:v>
      </x:c>
      <x:c r="H9" s="186" t="b">
        <x:v>0</x:v>
      </x:c>
      <x:c r="I9" s="176" t="str">
        <x:v>#64748B</x:v>
      </x:c>
      <x:c r="J9" s="176" t="str"/>
      <x:c r="K9" s="176" t="str"/>
      <x:c r="L9" s="176" t="str">
        <x:v>Material + status</x:v>
      </x:c>
      <x:c r="M9" s="176" t="str">
        <x:v>Project Management to Bending</x:v>
      </x:c>
      <x:c r="N9" s="24" t="str">
        <x:v>Confirm exact handoff details with process owner.</x:v>
      </x:c>
    </x:row>
    <x:row r="10">
      <x:c r="A10" s="23" t="str">
        <x:v>e_project_management_to_machining</x:v>
      </x:c>
      <x:c r="B10" s="176" t="str">
        <x:v>G</x:v>
      </x:c>
      <x:c r="C10" s="176" t="str">
        <x:v>J</x:v>
      </x:c>
      <x:c r="D10" s="176" t="str">
        <x:v>project_management</x:v>
      </x:c>
      <x:c r="E10" s="176" t="str">
        <x:v>machining</x:v>
      </x:c>
      <x:c r="F10" s="176" t="str">
        <x:v>Release to machining</x:v>
      </x:c>
      <x:c r="G10" s="176" t="str">
        <x:v>smoothstep</x:v>
      </x:c>
      <x:c r="H10" s="186" t="b">
        <x:v>0</x:v>
      </x:c>
      <x:c r="I10" s="176" t="str">
        <x:v>#64748B</x:v>
      </x:c>
      <x:c r="J10" s="176" t="str"/>
      <x:c r="K10" s="176" t="str"/>
      <x:c r="L10" s="176" t="str">
        <x:v>Material + status</x:v>
      </x:c>
      <x:c r="M10" s="176" t="str">
        <x:v>Project Management to Machining</x:v>
      </x:c>
      <x:c r="N10" s="24" t="str">
        <x:v>Confirm exact handoff details with process owner.</x:v>
      </x:c>
    </x:row>
    <x:row r="11">
      <x:c r="A11" s="23" t="str">
        <x:v>e_project_management_to_welding</x:v>
      </x:c>
      <x:c r="B11" s="176" t="str">
        <x:v>G</x:v>
      </x:c>
      <x:c r="C11" s="176" t="str">
        <x:v>K</x:v>
      </x:c>
      <x:c r="D11" s="176" t="str">
        <x:v>project_management</x:v>
      </x:c>
      <x:c r="E11" s="176" t="str">
        <x:v>welding</x:v>
      </x:c>
      <x:c r="F11" s="176" t="str">
        <x:v>Release to welding</x:v>
      </x:c>
      <x:c r="G11" s="176" t="str">
        <x:v>smoothstep</x:v>
      </x:c>
      <x:c r="H11" s="186" t="b">
        <x:v>0</x:v>
      </x:c>
      <x:c r="I11" s="176" t="str">
        <x:v>#64748B</x:v>
      </x:c>
      <x:c r="J11" s="176" t="str"/>
      <x:c r="K11" s="176" t="str"/>
      <x:c r="L11" s="176" t="str">
        <x:v>Material + status</x:v>
      </x:c>
      <x:c r="M11" s="176" t="str">
        <x:v>Project Management to Welding</x:v>
      </x:c>
      <x:c r="N11" s="24" t="str">
        <x:v>Confirm exact handoff details with process owner.</x:v>
      </x:c>
    </x:row>
    <x:row r="12">
      <x:c r="A12" s="23" t="str">
        <x:v>e_laser_waterjet_to_grinding_finishing</x:v>
      </x:c>
      <x:c r="B12" s="176" t="str">
        <x:v>H</x:v>
      </x:c>
      <x:c r="C12" s="176" t="str">
        <x:v>L</x:v>
      </x:c>
      <x:c r="D12" s="176" t="str">
        <x:v>laser_waterjet</x:v>
      </x:c>
      <x:c r="E12" s="176" t="str">
        <x:v>grinding_finishing</x:v>
      </x:c>
      <x:c r="F12" s="176" t="str"/>
      <x:c r="G12" s="176" t="str">
        <x:v>smoothstep</x:v>
      </x:c>
      <x:c r="H12" s="186" t="b">
        <x:v>0</x:v>
      </x:c>
      <x:c r="I12" s="176" t="str">
        <x:v>#64748B</x:v>
      </x:c>
      <x:c r="J12" s="176" t="str"/>
      <x:c r="K12" s="176" t="str"/>
      <x:c r="L12" s="176" t="str">
        <x:v>Material + status</x:v>
      </x:c>
      <x:c r="M12" s="176" t="str">
        <x:v>Laser &amp; Waterjet to Grinding &amp; Finishing</x:v>
      </x:c>
      <x:c r="N12" s="24" t="str">
        <x:v>Confirm exact handoff details with process owner.</x:v>
      </x:c>
    </x:row>
    <x:row r="13">
      <x:c r="A13" s="23" t="str">
        <x:v>e_bending_to_grinding_finishing</x:v>
      </x:c>
      <x:c r="B13" s="176" t="str">
        <x:v>I</x:v>
      </x:c>
      <x:c r="C13" s="176" t="str">
        <x:v>L</x:v>
      </x:c>
      <x:c r="D13" s="176" t="str">
        <x:v>bending</x:v>
      </x:c>
      <x:c r="E13" s="176" t="str">
        <x:v>grinding_finishing</x:v>
      </x:c>
      <x:c r="F13" s="176" t="str"/>
      <x:c r="G13" s="176" t="str">
        <x:v>smoothstep</x:v>
      </x:c>
      <x:c r="H13" s="186" t="b">
        <x:v>0</x:v>
      </x:c>
      <x:c r="I13" s="176" t="str">
        <x:v>#64748B</x:v>
      </x:c>
      <x:c r="J13" s="176" t="str"/>
      <x:c r="K13" s="176" t="str"/>
      <x:c r="L13" s="176" t="str">
        <x:v>Material + status</x:v>
      </x:c>
      <x:c r="M13" s="176" t="str">
        <x:v>Bending to Grinding &amp; Finishing</x:v>
      </x:c>
      <x:c r="N13" s="24" t="str">
        <x:v>Confirm exact handoff details with process owner.</x:v>
      </x:c>
    </x:row>
    <x:row r="14">
      <x:c r="A14" s="23" t="str">
        <x:v>e_machining_to_grinding_finishing</x:v>
      </x:c>
      <x:c r="B14" s="176" t="str">
        <x:v>J</x:v>
      </x:c>
      <x:c r="C14" s="176" t="str">
        <x:v>L</x:v>
      </x:c>
      <x:c r="D14" s="176" t="str">
        <x:v>machining</x:v>
      </x:c>
      <x:c r="E14" s="176" t="str">
        <x:v>grinding_finishing</x:v>
      </x:c>
      <x:c r="F14" s="176" t="str"/>
      <x:c r="G14" s="176" t="str">
        <x:v>smoothstep</x:v>
      </x:c>
      <x:c r="H14" s="186" t="b">
        <x:v>0</x:v>
      </x:c>
      <x:c r="I14" s="176" t="str">
        <x:v>#64748B</x:v>
      </x:c>
      <x:c r="J14" s="176" t="str"/>
      <x:c r="K14" s="176" t="str"/>
      <x:c r="L14" s="176" t="str">
        <x:v>Material + status</x:v>
      </x:c>
      <x:c r="M14" s="176" t="str">
        <x:v>Machining to Grinding &amp; Finishing</x:v>
      </x:c>
      <x:c r="N14" s="24" t="str">
        <x:v>Confirm exact handoff details with process owner.</x:v>
      </x:c>
    </x:row>
    <x:row r="15">
      <x:c r="A15" s="23" t="str">
        <x:v>e_welding_to_grinding_finishing</x:v>
      </x:c>
      <x:c r="B15" s="176" t="str">
        <x:v>K</x:v>
      </x:c>
      <x:c r="C15" s="176" t="str">
        <x:v>L</x:v>
      </x:c>
      <x:c r="D15" s="176" t="str">
        <x:v>welding</x:v>
      </x:c>
      <x:c r="E15" s="176" t="str">
        <x:v>grinding_finishing</x:v>
      </x:c>
      <x:c r="F15" s="176" t="str"/>
      <x:c r="G15" s="176" t="str">
        <x:v>smoothstep</x:v>
      </x:c>
      <x:c r="H15" s="186" t="b">
        <x:v>0</x:v>
      </x:c>
      <x:c r="I15" s="176" t="str">
        <x:v>#64748B</x:v>
      </x:c>
      <x:c r="J15" s="176" t="str"/>
      <x:c r="K15" s="176" t="str"/>
      <x:c r="L15" s="176" t="str">
        <x:v>Material + status</x:v>
      </x:c>
      <x:c r="M15" s="176" t="str">
        <x:v>Welding to Grinding &amp; Finishing</x:v>
      </x:c>
      <x:c r="N15" s="24" t="str">
        <x:v>Confirm exact handoff details with process owner.</x:v>
      </x:c>
    </x:row>
    <x:row r="16">
      <x:c r="A16" s="23" t="str">
        <x:v>e_grinding_finishing_to_coatings</x:v>
      </x:c>
      <x:c r="B16" s="176" t="str">
        <x:v>L</x:v>
      </x:c>
      <x:c r="C16" s="176" t="str">
        <x:v>M</x:v>
      </x:c>
      <x:c r="D16" s="176" t="str">
        <x:v>grinding_finishing</x:v>
      </x:c>
      <x:c r="E16" s="176" t="str">
        <x:v>coatings</x:v>
      </x:c>
      <x:c r="F16" s="176" t="str"/>
      <x:c r="G16" s="176" t="str">
        <x:v>smoothstep</x:v>
      </x:c>
      <x:c r="H16" s="186" t="b">
        <x:v>0</x:v>
      </x:c>
      <x:c r="I16" s="176" t="str">
        <x:v>#64748B</x:v>
      </x:c>
      <x:c r="J16" s="176" t="str"/>
      <x:c r="K16" s="176" t="str"/>
      <x:c r="L16" s="176" t="str">
        <x:v>Information + status</x:v>
      </x:c>
      <x:c r="M16" s="176" t="str">
        <x:v>Grinding &amp; Finishing to Coatings</x:v>
      </x:c>
      <x:c r="N16" s="24" t="str">
        <x:v>Confirm exact handoff details with process owner.</x:v>
      </x:c>
    </x:row>
    <x:row r="17">
      <x:c r="A17" s="23" t="str">
        <x:v>e_coatings_to_marking</x:v>
      </x:c>
      <x:c r="B17" s="176" t="str">
        <x:v>M</x:v>
      </x:c>
      <x:c r="C17" s="176" t="str">
        <x:v>N</x:v>
      </x:c>
      <x:c r="D17" s="176" t="str">
        <x:v>coatings</x:v>
      </x:c>
      <x:c r="E17" s="176" t="str">
        <x:v>marking</x:v>
      </x:c>
      <x:c r="F17" s="176" t="str"/>
      <x:c r="G17" s="176" t="str">
        <x:v>smoothstep</x:v>
      </x:c>
      <x:c r="H17" s="186" t="b">
        <x:v>0</x:v>
      </x:c>
      <x:c r="I17" s="176" t="str">
        <x:v>#64748B</x:v>
      </x:c>
      <x:c r="J17" s="176" t="str"/>
      <x:c r="K17" s="176" t="str"/>
      <x:c r="L17" s="176" t="str">
        <x:v>Information + status</x:v>
      </x:c>
      <x:c r="M17" s="176" t="str">
        <x:v>Coatings to Marking</x:v>
      </x:c>
      <x:c r="N17" s="24" t="str">
        <x:v>Confirm exact handoff details with process owner.</x:v>
      </x:c>
    </x:row>
    <x:row r="18">
      <x:c r="A18" s="23" t="str">
        <x:v>e_marking_to_assembly</x:v>
      </x:c>
      <x:c r="B18" s="176" t="str">
        <x:v>N</x:v>
      </x:c>
      <x:c r="C18" s="176" t="str">
        <x:v>O</x:v>
      </x:c>
      <x:c r="D18" s="176" t="str">
        <x:v>marking</x:v>
      </x:c>
      <x:c r="E18" s="176" t="str">
        <x:v>assembly</x:v>
      </x:c>
      <x:c r="F18" s="176" t="str"/>
      <x:c r="G18" s="176" t="str">
        <x:v>smoothstep</x:v>
      </x:c>
      <x:c r="H18" s="186" t="b">
        <x:v>0</x:v>
      </x:c>
      <x:c r="I18" s="176" t="str">
        <x:v>#64748B</x:v>
      </x:c>
      <x:c r="J18" s="176" t="str"/>
      <x:c r="K18" s="176" t="str"/>
      <x:c r="L18" s="176" t="str">
        <x:v>Information + status</x:v>
      </x:c>
      <x:c r="M18" s="176" t="str">
        <x:v>Marking to Assembly</x:v>
      </x:c>
      <x:c r="N18" s="24" t="str">
        <x:v>Confirm exact handoff details with process owner.</x:v>
      </x:c>
    </x:row>
    <x:row r="19">
      <x:c r="A19" s="23" t="str">
        <x:v>e_assembly_to_testing</x:v>
      </x:c>
      <x:c r="B19" s="176" t="str">
        <x:v>O</x:v>
      </x:c>
      <x:c r="C19" s="176" t="str">
        <x:v>P</x:v>
      </x:c>
      <x:c r="D19" s="176" t="str">
        <x:v>assembly</x:v>
      </x:c>
      <x:c r="E19" s="176" t="str">
        <x:v>testing</x:v>
      </x:c>
      <x:c r="F19" s="176" t="str"/>
      <x:c r="G19" s="176" t="str">
        <x:v>smoothstep</x:v>
      </x:c>
      <x:c r="H19" s="186" t="b">
        <x:v>0</x:v>
      </x:c>
      <x:c r="I19" s="176" t="str">
        <x:v>#64748B</x:v>
      </x:c>
      <x:c r="J19" s="176" t="str"/>
      <x:c r="K19" s="176" t="str"/>
      <x:c r="L19" s="176" t="str">
        <x:v>Information + status</x:v>
      </x:c>
      <x:c r="M19" s="176" t="str">
        <x:v>Assembly to Testing</x:v>
      </x:c>
      <x:c r="N19" s="24" t="str">
        <x:v>Confirm exact handoff details with process owner.</x:v>
      </x:c>
    </x:row>
    <x:row r="20">
      <x:c r="A20" s="23" t="str">
        <x:v>e_testing_to_final_quality_assurance</x:v>
      </x:c>
      <x:c r="B20" s="176" t="str">
        <x:v>P</x:v>
      </x:c>
      <x:c r="C20" s="176" t="str">
        <x:v>Q</x:v>
      </x:c>
      <x:c r="D20" s="176" t="str">
        <x:v>testing</x:v>
      </x:c>
      <x:c r="E20" s="176" t="str">
        <x:v>final_quality_assurance</x:v>
      </x:c>
      <x:c r="F20" s="176" t="str"/>
      <x:c r="G20" s="176" t="str">
        <x:v>smoothstep</x:v>
      </x:c>
      <x:c r="H20" s="186" t="b">
        <x:v>0</x:v>
      </x:c>
      <x:c r="I20" s="176" t="str">
        <x:v>#64748B</x:v>
      </x:c>
      <x:c r="J20" s="176" t="str"/>
      <x:c r="K20" s="176" t="str"/>
      <x:c r="L20" s="176" t="str">
        <x:v>Information + status</x:v>
      </x:c>
      <x:c r="M20" s="176" t="str">
        <x:v>Testing to Final Quality Assurance</x:v>
      </x:c>
      <x:c r="N20" s="24" t="str">
        <x:v>Confirm exact handoff details with process owner.</x:v>
      </x:c>
    </x:row>
    <x:row r="21">
      <x:c r="A21" s="23" t="str">
        <x:v>e_final_quality_assurance_to_shipping_customer_delivery</x:v>
      </x:c>
      <x:c r="B21" s="176" t="str">
        <x:v>Q</x:v>
      </x:c>
      <x:c r="C21" s="176" t="str">
        <x:v>R</x:v>
      </x:c>
      <x:c r="D21" s="176" t="str">
        <x:v>final_quality_assurance</x:v>
      </x:c>
      <x:c r="E21" s="176" t="str">
        <x:v>shipping_customer_delivery</x:v>
      </x:c>
      <x:c r="F21" s="176" t="str"/>
      <x:c r="G21" s="176" t="str">
        <x:v>smoothstep</x:v>
      </x:c>
      <x:c r="H21" s="186" t="b">
        <x:v>0</x:v>
      </x:c>
      <x:c r="I21" s="176" t="str">
        <x:v>#64748B</x:v>
      </x:c>
      <x:c r="J21" s="176" t="str"/>
      <x:c r="K21" s="176" t="str"/>
      <x:c r="L21" s="176" t="str">
        <x:v>Information + status</x:v>
      </x:c>
      <x:c r="M21" s="176" t="str">
        <x:v>Final Quality Assurance to Shipping &amp; Customer Delivery</x:v>
      </x:c>
      <x:c r="N21" s="24" t="str">
        <x:v>Confirm exact handoff details with process owner.</x:v>
      </x:c>
    </x:row>
  </x:sheetData>
  <x:dataValidations count="1">
    <x:dataValidation type="list" sqref="G2:G21">
      <x:formula1>"smoothstep,step,default"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be8e0c81024c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4" hidden="0" customWidth="1"/>
    <x:col min="4" max="4" width="24" hidden="0" customWidth="1"/>
    <x:col min="5" max="5" width="26" hidden="0" customWidth="1"/>
    <x:col min="6" max="6" width="46" hidden="0" customWidth="1"/>
    <x:col min="7" max="7" width="48" hidden="0" customWidth="1"/>
    <x:col min="8" max="8" width="46" hidden="0" customWidth="1"/>
    <x:col min="9" max="9" width="42" hidden="0" customWidth="1"/>
    <x:col min="10" max="10" width="34" hidden="0" customWidth="1"/>
    <x:col min="11" max="11" width="36" hidden="0" customWidth="1"/>
    <x:col min="12" max="12" width="36" hidden="0" customWidth="1"/>
    <x:col min="13" max="13" width="40" hidden="0" customWidth="1"/>
    <x:col min="14" max="14" width="40" hidden="0" customWidth="1"/>
    <x:col min="15" max="15" width="42" hidden="0" customWidth="1"/>
    <x:col min="16" max="16" width="34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2" hidden="0" customWidth="1"/>
  </x:cols>
  <x:sheetData>
    <x:row r="1">
      <x:c r="A1" s="11" t="str">
        <x:v>flowchart_key</x:v>
      </x:c>
      <x:c r="B1" s="11" t="str">
        <x:v>node_id</x:v>
      </x:c>
      <x:c r="C1" s="11" t="str">
        <x:v>process_area</x:v>
      </x:c>
      <x:c r="D1" s="11" t="str">
        <x:v>lane</x:v>
      </x:c>
      <x:c r="E1" s="11" t="str">
        <x:v>process_owner</x:v>
      </x:c>
      <x:c r="F1" s="11" t="str">
        <x:v>inputs</x:v>
      </x:c>
      <x:c r="G1" s="11" t="str">
        <x:v>major_activities</x:v>
      </x:c>
      <x:c r="H1" s="11" t="str">
        <x:v>outputs</x:v>
      </x:c>
      <x:c r="I1" s="11" t="str">
        <x:v>quality_checkpoints</x:v>
      </x:c>
      <x:c r="J1" s="11" t="str">
        <x:v>erp_mrp_notional</x:v>
      </x:c>
      <x:c r="K1" s="11" t="str">
        <x:v>department_software_notional</x:v>
      </x:c>
      <x:c r="L1" s="11" t="str">
        <x:v>spreadsheet_tracker_notional</x:v>
      </x:c>
      <x:c r="M1" s="11" t="str">
        <x:v>ai_automation_notional</x:v>
      </x:c>
      <x:c r="N1" s="11" t="str">
        <x:v>pain_points_notional</x:v>
      </x:c>
      <x:c r="O1" s="11" t="str">
        <x:v>opportunity_notional</x:v>
      </x:c>
      <x:c r="P1" s="11" t="str">
        <x:v>time_savings_notional</x:v>
      </x:c>
      <x:c r="Q1" s="11" t="str">
        <x:v>process_status</x:v>
      </x:c>
      <x:c r="R1" s="11" t="str">
        <x:v>outgoing_edge_count</x:v>
      </x:c>
      <x:c r="S1" s="11" t="str">
        <x:v>incoming_edge_count</x:v>
      </x:c>
      <x:c r="T1" s="11" t="str">
        <x:v>software_row_count</x:v>
      </x:c>
      <x:c r="U1" s="11" t="str">
        <x:v>notes</x:v>
      </x:c>
    </x:row>
    <x:row r="2">
      <x:c r="A2" s="21" t="str">
        <x:v>A</x:v>
      </x:c>
      <x:c r="B2" s="175" t="str">
        <x:v>sales_customer_opportunities</x:v>
      </x:c>
      <x:c r="C2" s="175" t="str">
        <x:v>Sales &amp; Customer Opportunities</x:v>
      </x:c>
      <x:c r="D2" s="175" t="str">
        <x:v>Sales &amp; Quoting</x:v>
      </x:c>
      <x:c r="E2" s="175" t="str">
        <x:v>Sales &amp; Quoting owner TBD</x:v>
      </x:c>
      <x:c r="F2" s="175" t="str">
        <x:v>Customer demand, RFQs, forecasts, repeat orders, market opportunities</x:v>
      </x:c>
      <x:c r="G2" s="175" t="str">
        <x:v>Capture opportunity, qualify fit, identify customer requirements, assign follow-up</x:v>
      </x:c>
      <x:c r="H2" s="175" t="str">
        <x:v>Qualified opportunity or RFQ package ready for estimating</x:v>
      </x:c>
      <x:c r="I2" s="175" t="str">
        <x:v>Customer requirement clarity; due-date and drawing/package completeness</x:v>
      </x:c>
      <x:c r="J2" s="175" t="str">
        <x:v>JobBoss2 CRM/customer master module</x:v>
      </x:c>
      <x:c r="K2" s="175" t="str">
        <x:v>HubSpot CRM and Microsoft Outlook</x:v>
      </x:c>
      <x:c r="L2" s="175" t="str">
        <x:v>Sales Opportunity Tracker.xlsx</x:v>
      </x:c>
      <x:c r="M2" s="175" t="str">
        <x:v>AI RFQ intake and follow-up assistant</x:v>
      </x:c>
      <x:c r="N2" s="175" t="str">
        <x:v>Opportunity details can be scattered across email, calls, and informal notes.</x:v>
      </x:c>
      <x:c r="O2" s="175" t="str">
        <x:v>Use AI summaries and CRM discipline to standardize RFQ intake and follow-up.</x:v>
      </x:c>
      <x:c r="P2" s="175" t="str">
        <x:v>Notional 2-4 hours/week saved in opportunity cleanup and follow-up.</x:v>
      </x:c>
      <x:c r="Q2" s="175" t="str">
        <x:v>Current State</x:v>
      </x:c>
      <x:c r="R2" s="177" t="n">
        <x:f>COUNTIF('Flowchart Edges'!$D$2:$D$21,B2)</x:f>
        <x:v>1</x:v>
      </x:c>
      <x:c r="S2" s="177" t="n">
        <x:f>COUNTIF('Flowchart Edges'!$E$2:$E$21,B2)</x:f>
        <x:v>0</x:v>
      </x:c>
      <x:c r="T2" s="177" t="n">
        <x:f>COUNTIF('Process Software'!$A$2:$A$73,B2)</x:f>
        <x:v>4</x:v>
      </x:c>
      <x:c r="U2" s="22" t="str">
        <x:v>Notional demo content; validate and replace with actual Tabet systems before production use.</x:v>
      </x:c>
    </x:row>
    <x:row r="3">
      <x:c r="A3" s="23" t="str">
        <x:v>B</x:v>
      </x:c>
      <x:c r="B3" s="176" t="str">
        <x:v>estimating_quoting</x:v>
      </x:c>
      <x:c r="C3" s="176" t="str">
        <x:v>Estimating &amp; Quoting</x:v>
      </x:c>
      <x:c r="D3" s="176" t="str">
        <x:v>Sales &amp; Quoting</x:v>
      </x:c>
      <x:c r="E3" s="176" t="str">
        <x:v>Sales &amp; Quoting owner TBD</x:v>
      </x:c>
      <x:c r="F3" s="176" t="str">
        <x:v>RFQ package, drawings, specifications, historical pricing, material assumptions</x:v>
      </x:c>
      <x:c r="G3" s="176" t="str">
        <x:v>Estimate labor/material, assess manufacturability, price work, review quote approval needs</x:v>
      </x:c>
      <x:c r="H3" s="176" t="str">
        <x:v>Customer quote, assumptions, lead time, exclusions, follow-up tasks</x:v>
      </x:c>
      <x:c r="I3" s="176" t="str">
        <x:v>Quote review, risk review, pricing approval, manufacturability concerns logged</x:v>
      </x:c>
      <x:c r="J3" s="176" t="str">
        <x:v>JobBoss2 estimating and quote history</x:v>
      </x:c>
      <x:c r="K3" s="176" t="str">
        <x:v>Paperless Parts or custom quoting calculator</x:v>
      </x:c>
      <x:c r="L3" s="176" t="str">
        <x:v>Quote Assumptions and Win/Loss Tracker</x:v>
      </x:c>
      <x:c r="M3" s="176" t="str">
        <x:v>AI quote comparison and manufacturability screener</x:v>
      </x:c>
      <x:c r="N3" s="176" t="str">
        <x:v>Estimators may spend time searching for similar jobs, assumptions, and prior exceptions.</x:v>
      </x:c>
      <x:c r="O3" s="176" t="str">
        <x:v>Use quote history and AI manufacturability screening to speed first-pass estimates.</x:v>
      </x:c>
      <x:c r="P3" s="176" t="str">
        <x:v>Notional 10-20% reduction in repeat-job quote preparation time.</x:v>
      </x:c>
      <x:c r="Q3" s="176" t="str">
        <x:v>Current State</x:v>
      </x:c>
      <x:c r="R3" s="178" t="n">
        <x:f>COUNTIF('Flowchart Edges'!$D$2:$D$21,B3)</x:f>
        <x:v>1</x:v>
      </x:c>
      <x:c r="S3" s="178" t="n">
        <x:f>COUNTIF('Flowchart Edges'!$E$2:$E$21,B3)</x:f>
        <x:v>1</x:v>
      </x:c>
      <x:c r="T3" s="178" t="n">
        <x:f>COUNTIF('Process Software'!$A$2:$A$73,B3)</x:f>
        <x:v>4</x:v>
      </x:c>
      <x:c r="U3" s="24" t="str">
        <x:v>Notional demo content; validate and replace with actual Tabet systems before production use.</x:v>
      </x:c>
    </x:row>
    <x:row r="4">
      <x:c r="A4" s="23" t="str">
        <x:v>C</x:v>
      </x:c>
      <x:c r="B4" s="176" t="str">
        <x:v>order_review_processing</x:v>
      </x:c>
      <x:c r="C4" s="176" t="str">
        <x:v>Order Review &amp; Processing</x:v>
      </x:c>
      <x:c r="D4" s="176" t="str">
        <x:v>Order Processing</x:v>
      </x:c>
      <x:c r="E4" s="176" t="str">
        <x:v>Order Processing owner TBD</x:v>
      </x:c>
      <x:c r="F4" s="176" t="str">
        <x:v>Customer purchase order, accepted quote, drawings, specifications, delivery requirements</x:v>
      </x:c>
      <x:c r="G4" s="176" t="str">
        <x:v>Review PO, confirm scope, enter order, acknowledge terms, start change-control record</x:v>
      </x:c>
      <x:c r="H4" s="176" t="str">
        <x:v>Accepted order, order record, due dates, contract requirements, kickoff package</x:v>
      </x:c>
      <x:c r="I4" s="176" t="str">
        <x:v>Contract review, PO-to-quote match, flow-down requirements, due-date feasibility</x:v>
      </x:c>
      <x:c r="J4" s="176" t="str">
        <x:v>JobBoss2 sales order and job creation</x:v>
      </x:c>
      <x:c r="K4" s="176" t="str">
        <x:v>Microsoft SharePoint order package library</x:v>
      </x:c>
      <x:c r="L4" s="176" t="str">
        <x:v>Contract Review Exceptions Log</x:v>
      </x:c>
      <x:c r="M4" s="176" t="str">
        <x:v>AI PO-to-quote mismatch checker</x:v>
      </x:c>
      <x:c r="N4" s="176" t="str">
        <x:v>PO, quote, drawing, and revision mismatches can be found late.</x:v>
      </x:c>
      <x:c r="O4" s="176" t="str">
        <x:v>Automate PO-to-quote comparison and required-field checks before order release.</x:v>
      </x:c>
      <x:c r="P4" s="176" t="str">
        <x:v>Notional 1-2 hours/order saved on review rework and clarification.</x:v>
      </x:c>
      <x:c r="Q4" s="176" t="str">
        <x:v>Current State</x:v>
      </x:c>
      <x:c r="R4" s="178" t="n">
        <x:f>COUNTIF('Flowchart Edges'!$D$2:$D$21,B4)</x:f>
        <x:v>1</x:v>
      </x:c>
      <x:c r="S4" s="178" t="n">
        <x:f>COUNTIF('Flowchart Edges'!$E$2:$E$21,B4)</x:f>
        <x:v>1</x:v>
      </x:c>
      <x:c r="T4" s="178" t="n">
        <x:f>COUNTIF('Process Software'!$A$2:$A$73,B4)</x:f>
        <x:v>4</x:v>
      </x:c>
      <x:c r="U4" s="24" t="str">
        <x:v>Notional demo content; validate and replace with actual Tabet systems before production use.</x:v>
      </x:c>
    </x:row>
    <x:row r="5">
      <x:c r="A5" s="23" t="str">
        <x:v>D</x:v>
      </x:c>
      <x:c r="B5" s="176" t="str">
        <x:v>engineering_production_planning</x:v>
      </x:c>
      <x:c r="C5" s="176" t="str">
        <x:v>Engineering &amp; Production Planning</x:v>
      </x:c>
      <x:c r="D5" s="176" t="str">
        <x:v>Engineering &amp; Planning</x:v>
      </x:c>
      <x:c r="E5" s="176" t="str">
        <x:v>Engineering &amp; Planning owner TBD</x:v>
      </x:c>
      <x:c r="F5" s="176" t="str">
        <x:v>Order package, drawings, specifications, BOM requirements, customer notes</x:v>
      </x:c>
      <x:c r="G5" s="176" t="str">
        <x:v>Review drawings, create/revise BOMs and routings, prepare programming, release work instructions</x:v>
      </x:c>
      <x:c r="H5" s="176" t="str">
        <x:v>Production-ready job package, routings, BOMs, work instructions, programming requests</x:v>
      </x:c>
      <x:c r="I5" s="176" t="str">
        <x:v>Engineering review, revision control, producibility questions, release approval</x:v>
      </x:c>
      <x:c r="J5" s="176" t="str">
        <x:v>JobBoss2 BOM, routing, and job planning</x:v>
      </x:c>
      <x:c r="K5" s="176" t="str">
        <x:v>SOLIDWORKS PDM, AutoCAD, and Bluebeam</x:v>
      </x:c>
      <x:c r="L5" s="176" t="str">
        <x:v>Engineering Release and Open Questions Log</x:v>
      </x:c>
      <x:c r="M5" s="176" t="str">
        <x:v>AI drawing/BOM/routing consistency checker</x:v>
      </x:c>
      <x:c r="N5" s="176" t="str">
        <x:v>Drawing revisions, BOM gaps, and routing questions can slow production release.</x:v>
      </x:c>
      <x:c r="O5" s="176" t="str">
        <x:v>AI pre-checks can flag missing operations, unclear notes, and revision conflicts.</x:v>
      </x:c>
      <x:c r="P5" s="176" t="str">
        <x:v>Notional 5-10% faster engineering package release for repeat/simple jobs.</x:v>
      </x:c>
      <x:c r="Q5" s="176" t="str">
        <x:v>Current State</x:v>
      </x:c>
      <x:c r="R5" s="178" t="n">
        <x:f>COUNTIF('Flowchart Edges'!$D$2:$D$21,B5)</x:f>
        <x:v>1</x:v>
      </x:c>
      <x:c r="S5" s="178" t="n">
        <x:f>COUNTIF('Flowchart Edges'!$E$2:$E$21,B5)</x:f>
        <x:v>1</x:v>
      </x:c>
      <x:c r="T5" s="178" t="n">
        <x:f>COUNTIF('Process Software'!$A$2:$A$73,B5)</x:f>
        <x:v>4</x:v>
      </x:c>
      <x:c r="U5" s="24" t="str">
        <x:v>Notional demo content; validate and replace with actual Tabet systems before production use.</x:v>
      </x:c>
    </x:row>
    <x:row r="6">
      <x:c r="A6" s="23" t="str">
        <x:v>E</x:v>
      </x:c>
      <x:c r="B6" s="176" t="str">
        <x:v>purchasing_supplier_management</x:v>
      </x:c>
      <x:c r="C6" s="176" t="str">
        <x:v>Purchasing &amp; Supplier Management</x:v>
      </x:c>
      <x:c r="D6" s="176" t="str">
        <x:v>Supply Chain</x:v>
      </x:c>
      <x:c r="E6" s="176" t="str">
        <x:v>Supply Chain owner TBD</x:v>
      </x:c>
      <x:c r="F6" s="176" t="str">
        <x:v>BOM, material requirements, supplier requirements, due dates, certifications needed</x:v>
      </x:c>
      <x:c r="G6" s="176" t="str">
        <x:v>Source material/services, issue purchase orders, expedite, manage supplier commitments</x:v>
      </x:c>
      <x:c r="H6" s="176" t="str">
        <x:v>Purchase orders, supplier confirmations, material ETA, outside-process plan</x:v>
      </x:c>
      <x:c r="I6" s="176" t="str">
        <x:v>Approved supplier, certification requirements, due-date and specification alignment</x:v>
      </x:c>
      <x:c r="J6" s="176" t="str">
        <x:v>JobBoss2 purchasing and material requirements</x:v>
      </x:c>
      <x:c r="K6" s="176" t="str">
        <x:v>Supplier portal, Outlook, and Teams purchasing channel</x:v>
      </x:c>
      <x:c r="L6" s="176" t="str">
        <x:v>Material Shortage and Expedite Tracker</x:v>
      </x:c>
      <x:c r="M6" s="176" t="str">
        <x:v>AI supplier ETA risk and expedite assistant</x:v>
      </x:c>
      <x:c r="N6" s="176" t="str">
        <x:v>Material status and supplier promises can require repeated manual expediting.</x:v>
      </x:c>
      <x:c r="O6" s="176" t="str">
        <x:v>Use ETA risk alerts and supplier-message summaries to focus attention on true blockers.</x:v>
      </x:c>
      <x:c r="P6" s="176" t="str">
        <x:v>Notional 3-6 hours/week saved in expedite follow-up.</x:v>
      </x:c>
      <x:c r="Q6" s="176" t="str">
        <x:v>Current State</x:v>
      </x:c>
      <x:c r="R6" s="178" t="n">
        <x:f>COUNTIF('Flowchart Edges'!$D$2:$D$21,B6)</x:f>
        <x:v>1</x:v>
      </x:c>
      <x:c r="S6" s="178" t="n">
        <x:f>COUNTIF('Flowchart Edges'!$E$2:$E$21,B6)</x:f>
        <x:v>1</x:v>
      </x:c>
      <x:c r="T6" s="178" t="n">
        <x:f>COUNTIF('Process Software'!$A$2:$A$73,B6)</x:f>
        <x:v>4</x:v>
      </x:c>
      <x:c r="U6" s="24" t="str">
        <x:v>Notional demo content; validate and replace with actual Tabet systems before production use.</x:v>
      </x:c>
    </x:row>
    <x:row r="7">
      <x:c r="A7" s="23" t="str">
        <x:v>F</x:v>
      </x:c>
      <x:c r="B7" s="176" t="str">
        <x:v>receiving_material_control</x:v>
      </x:c>
      <x:c r="C7" s="176" t="str">
        <x:v>Receiving &amp; Material Control</x:v>
      </x:c>
      <x:c r="D7" s="176" t="str">
        <x:v>Supply Chain</x:v>
      </x:c>
      <x:c r="E7" s="176" t="str">
        <x:v>Supply Chain owner TBD</x:v>
      </x:c>
      <x:c r="F7" s="176" t="str">
        <x:v>Incoming material, packing slips, purchase orders, certificates, outside-process returns</x:v>
      </x:c>
      <x:c r="G7" s="176" t="str">
        <x:v>Receive, identify, inspect as required, record certs, move to inventory or job location</x:v>
      </x:c>
      <x:c r="H7" s="176" t="str">
        <x:v>Available material, receiving records, cert package, inventory transaction, discrepancies</x:v>
      </x:c>
      <x:c r="I7" s="176" t="str">
        <x:v>Receiving inspection, cert verification, material traceability, nonconformance trigger</x:v>
      </x:c>
      <x:c r="J7" s="176" t="str">
        <x:v>JobBoss2 receiving and inventory transactions</x:v>
      </x:c>
      <x:c r="K7" s="176" t="str">
        <x:v>Barcode receiving station and document scanner</x:v>
      </x:c>
      <x:c r="L7" s="176" t="str">
        <x:v>Receiving Hold and Cert Review Log</x:v>
      </x:c>
      <x:c r="M7" s="176" t="str">
        <x:v>AI cert OCR and material traceability checker</x:v>
      </x:c>
      <x:c r="N7" s="176" t="str">
        <x:v>Cert review and material traceability checks can delay material availability.</x:v>
      </x:c>
      <x:c r="O7" s="176" t="str">
        <x:v>Use OCR and requirement matching to accelerate cert validation.</x:v>
      </x:c>
      <x:c r="P7" s="176" t="str">
        <x:v>Notional 30-60 minutes saved per complex cert package.</x:v>
      </x:c>
      <x:c r="Q7" s="176" t="str">
        <x:v>Current State</x:v>
      </x:c>
      <x:c r="R7" s="178" t="n">
        <x:f>COUNTIF('Flowchart Edges'!$D$2:$D$21,B7)</x:f>
        <x:v>1</x:v>
      </x:c>
      <x:c r="S7" s="178" t="n">
        <x:f>COUNTIF('Flowchart Edges'!$E$2:$E$21,B7)</x:f>
        <x:v>1</x:v>
      </x:c>
      <x:c r="T7" s="178" t="n">
        <x:f>COUNTIF('Process Software'!$A$2:$A$73,B7)</x:f>
        <x:v>4</x:v>
      </x:c>
      <x:c r="U7" s="24" t="str">
        <x:v>Notional demo content; validate and replace with actual Tabet systems before production use.</x:v>
      </x:c>
    </x:row>
    <x:row r="8">
      <x:c r="A8" s="23" t="str">
        <x:v>G</x:v>
      </x:c>
      <x:c r="B8" s="176" t="str">
        <x:v>project_management</x:v>
      </x:c>
      <x:c r="C8" s="176" t="str">
        <x:v>Project Management</x:v>
      </x:c>
      <x:c r="D8" s="176" t="str">
        <x:v>Project Management</x:v>
      </x:c>
      <x:c r="E8" s="176" t="str">
        <x:v>Project Management owner TBD</x:v>
      </x:c>
      <x:c r="F8" s="176" t="str">
        <x:v>Released job, schedule, material status, customer commitments, risk/issues list</x:v>
      </x:c>
      <x:c r="G8" s="176" t="str">
        <x:v>Coordinate priorities, track milestones, manage blockers, communicate status, escalate risk</x:v>
      </x:c>
      <x:c r="H8" s="176" t="str">
        <x:v>Released/controlled shop work, schedule updates, status reporting, issue resolution</x:v>
      </x:c>
      <x:c r="I8" s="176" t="str">
        <x:v>Milestone review, customer due-date risk, resource conflicts, material readiness</x:v>
      </x:c>
      <x:c r="J8" s="176" t="str">
        <x:v>JobBoss2 job status and schedule views</x:v>
      </x:c>
      <x:c r="K8" s="176" t="str">
        <x:v>Microsoft Project, Planner, and Teams</x:v>
      </x:c>
      <x:c r="L8" s="176" t="str">
        <x:v>Project Milestone and Risk Tracker</x:v>
      </x:c>
      <x:c r="M8" s="176" t="str">
        <x:v>AI project risk summary and blocker digest</x:v>
      </x:c>
      <x:c r="N8" s="176" t="str">
        <x:v>Project status is assembled from multiple systems, meetings, and informal updates.</x:v>
      </x:c>
      <x:c r="O8" s="176" t="str">
        <x:v>Automated risk digests can highlight late material, overdue operations, and open decisions.</x:v>
      </x:c>
      <x:c r="P8" s="176" t="str">
        <x:v>Notional 4-8 hours/week saved in status preparation.</x:v>
      </x:c>
      <x:c r="Q8" s="176" t="str">
        <x:v>Current State</x:v>
      </x:c>
      <x:c r="R8" s="178" t="n">
        <x:f>COUNTIF('Flowchart Edges'!$D$2:$D$21,B8)</x:f>
        <x:v>4</x:v>
      </x:c>
      <x:c r="S8" s="178" t="n">
        <x:f>COUNTIF('Flowchart Edges'!$E$2:$E$21,B8)</x:f>
        <x:v>1</x:v>
      </x:c>
      <x:c r="T8" s="178" t="n">
        <x:f>COUNTIF('Process Software'!$A$2:$A$73,B8)</x:f>
        <x:v>4</x:v>
      </x:c>
      <x:c r="U8" s="24" t="str">
        <x:v>Notional demo content; validate and replace with actual Tabet systems before production use.</x:v>
      </x:c>
    </x:row>
    <x:row r="9">
      <x:c r="A9" s="23" t="str">
        <x:v>H</x:v>
      </x:c>
      <x:c r="B9" s="176" t="str">
        <x:v>laser_waterjet</x:v>
      </x:c>
      <x:c r="C9" s="176" t="str">
        <x:v>Laser &amp; Waterjet</x:v>
      </x:c>
      <x:c r="D9" s="176" t="str">
        <x:v>Manufacturing</x:v>
      </x:c>
      <x:c r="E9" s="176" t="str">
        <x:v>Manufacturing owner TBD</x:v>
      </x:c>
      <x:c r="F9" s="176" t="str">
        <x:v>Released cut files, material, nesting plan, job traveler, inspection criteria</x:v>
      </x:c>
      <x:c r="G9" s="176" t="str">
        <x:v>Program/nest, stage material, cut parts, record completion and material usage</x:v>
      </x:c>
      <x:c r="H9" s="176" t="str">
        <x:v>Cut parts, remnants/scrap data, completion status, first-piece/in-process records</x:v>
      </x:c>
      <x:c r="I9" s="176" t="str">
        <x:v>Material match, nest verification, first-piece dimensional check, traceability</x:v>
      </x:c>
      <x:c r="J9" s="176" t="str">
        <x:v>JobBoss2 shop dispatch and operation completion</x:v>
      </x:c>
      <x:c r="K9" s="176" t="str">
        <x:v>SigmaNEST, OMAX Intelli-MAX, and machine controller software</x:v>
      </x:c>
      <x:c r="L9" s="176" t="str">
        <x:v>Cut Schedule and Remnant Tracker</x:v>
      </x:c>
      <x:c r="M9" s="176" t="str">
        <x:v>AI nesting/material utilization advisor</x:v>
      </x:c>
      <x:c r="N9" s="176" t="str">
        <x:v>Material utilization, remnant use, and queue priorities may require manual coordination.</x:v>
      </x:c>
      <x:c r="O9" s="176" t="str">
        <x:v>Use nesting recommendations and queue visibility to improve throughput and material usage.</x:v>
      </x:c>
      <x:c r="P9" s="176" t="str">
        <x:v>Notional 2-5% material-utilization improvement plus setup coordination savings.</x:v>
      </x:c>
      <x:c r="Q9" s="176" t="str">
        <x:v>Current State</x:v>
      </x:c>
      <x:c r="R9" s="178" t="n">
        <x:f>COUNTIF('Flowchart Edges'!$D$2:$D$21,B9)</x:f>
        <x:v>1</x:v>
      </x:c>
      <x:c r="S9" s="178" t="n">
        <x:f>COUNTIF('Flowchart Edges'!$E$2:$E$21,B9)</x:f>
        <x:v>1</x:v>
      </x:c>
      <x:c r="T9" s="178" t="n">
        <x:f>COUNTIF('Process Software'!$A$2:$A$73,B9)</x:f>
        <x:v>4</x:v>
      </x:c>
      <x:c r="U9" s="24" t="str">
        <x:v>Notional demo content; validate and replace with actual Tabet systems before production use.</x:v>
      </x:c>
    </x:row>
    <x:row r="10">
      <x:c r="A10" s="23" t="str">
        <x:v>I</x:v>
      </x:c>
      <x:c r="B10" s="176" t="str">
        <x:v>bending</x:v>
      </x:c>
      <x:c r="C10" s="176" t="str">
        <x:v>Bending</x:v>
      </x:c>
      <x:c r="D10" s="176" t="str">
        <x:v>Manufacturing</x:v>
      </x:c>
      <x:c r="E10" s="176" t="str">
        <x:v>Manufacturing owner TBD</x:v>
      </x:c>
      <x:c r="F10" s="176" t="str">
        <x:v>Cut parts, bend programs, tooling requirements, drawings, setup instructions</x:v>
      </x:c>
      <x:c r="G10" s="176" t="str">
        <x:v>Select tooling, set up brake, form parts, verify critical dimensions</x:v>
      </x:c>
      <x:c r="H10" s="176" t="str">
        <x:v>Formed parts, production status, setup notes, dimensional checks</x:v>
      </x:c>
      <x:c r="I10" s="176" t="str">
        <x:v>Tooling/setup verification, first-piece inspection, bend angle and feature checks</x:v>
      </x:c>
      <x:c r="J10" s="176" t="str">
        <x:v>JobBoss2 bending operation status</x:v>
      </x:c>
      <x:c r="K10" s="176" t="str">
        <x:v>Press brake offline programming and tooling database</x:v>
      </x:c>
      <x:c r="L10" s="176" t="str">
        <x:v>Bend Setup and Tooling Notes Tracker</x:v>
      </x:c>
      <x:c r="M10" s="176" t="str">
        <x:v>AI bend setup and sequence suggestion</x:v>
      </x:c>
      <x:c r="N10" s="176" t="str">
        <x:v>Setup knowledge and tooling lessons may remain with individual operators.</x:v>
      </x:c>
      <x:c r="O10" s="176" t="str">
        <x:v>Capture prior setup notes and suggest tooling/sequences for repeat work.</x:v>
      </x:c>
      <x:c r="P10" s="176" t="str">
        <x:v>Notional 10-15 minutes saved per repeat setup.</x:v>
      </x:c>
      <x:c r="Q10" s="176" t="str">
        <x:v>Current State</x:v>
      </x:c>
      <x:c r="R10" s="178" t="n">
        <x:f>COUNTIF('Flowchart Edges'!$D$2:$D$21,B10)</x:f>
        <x:v>1</x:v>
      </x:c>
      <x:c r="S10" s="178" t="n">
        <x:f>COUNTIF('Flowchart Edges'!$E$2:$E$21,B10)</x:f>
        <x:v>1</x:v>
      </x:c>
      <x:c r="T10" s="178" t="n">
        <x:f>COUNTIF('Process Software'!$A$2:$A$73,B10)</x:f>
        <x:v>4</x:v>
      </x:c>
      <x:c r="U10" s="24" t="str">
        <x:v>Notional demo content; validate and replace with actual Tabet systems before production use.</x:v>
      </x:c>
    </x:row>
    <x:row r="11">
      <x:c r="A11" s="23" t="str">
        <x:v>J</x:v>
      </x:c>
      <x:c r="B11" s="176" t="str">
        <x:v>machining</x:v>
      </x:c>
      <x:c r="C11" s="176" t="str">
        <x:v>Machining</x:v>
      </x:c>
      <x:c r="D11" s="176" t="str">
        <x:v>Manufacturing</x:v>
      </x:c>
      <x:c r="E11" s="176" t="str">
        <x:v>Manufacturing owner TBD</x:v>
      </x:c>
      <x:c r="F11" s="176" t="str">
        <x:v>Material/parts, CNC programs, tooling, drawings, inspection requirements</x:v>
      </x:c>
      <x:c r="G11" s="176" t="str">
        <x:v>Program/setup machine, machine features, inspect critical dimensions, record completion</x:v>
      </x:c>
      <x:c r="H11" s="176" t="str">
        <x:v>Machined parts, inspection records, setup/cycle notes, work-center status</x:v>
      </x:c>
      <x:c r="I11" s="176" t="str">
        <x:v>Program verification, tooling verification, first-piece/in-process inspection</x:v>
      </x:c>
      <x:c r="J11" s="176" t="str">
        <x:v>JobBoss2 machining operation status</x:v>
      </x:c>
      <x:c r="K11" s="176" t="str">
        <x:v>Mastercam, Fusion 360, and CNC controller software</x:v>
      </x:c>
      <x:c r="L11" s="176" t="str">
        <x:v>Tooling and Cycle-Time Tracker</x:v>
      </x:c>
      <x:c r="M11" s="176" t="str">
        <x:v>AI CNC feature recognition and cycle estimate</x:v>
      </x:c>
      <x:c r="N11" s="176" t="str">
        <x:v>Programming, tooling, and cycle estimates can be hard to compare across prior jobs.</x:v>
      </x:c>
      <x:c r="O11" s="176" t="str">
        <x:v>Use feature recognition and cycle-time history to improve estimates and setup planning.</x:v>
      </x:c>
      <x:c r="P11" s="176" t="str">
        <x:v>Notional 5-10% reduction in estimate/programming research time.</x:v>
      </x:c>
      <x:c r="Q11" s="176" t="str">
        <x:v>Current State</x:v>
      </x:c>
      <x:c r="R11" s="178" t="n">
        <x:f>COUNTIF('Flowchart Edges'!$D$2:$D$21,B11)</x:f>
        <x:v>1</x:v>
      </x:c>
      <x:c r="S11" s="178" t="n">
        <x:f>COUNTIF('Flowchart Edges'!$E$2:$E$21,B11)</x:f>
        <x:v>1</x:v>
      </x:c>
      <x:c r="T11" s="178" t="n">
        <x:f>COUNTIF('Process Software'!$A$2:$A$73,B11)</x:f>
        <x:v>4</x:v>
      </x:c>
      <x:c r="U11" s="24" t="str">
        <x:v>Notional demo content; validate and replace with actual Tabet systems before production use.</x:v>
      </x:c>
    </x:row>
    <x:row r="12">
      <x:c r="A12" s="23" t="str">
        <x:v>K</x:v>
      </x:c>
      <x:c r="B12" s="176" t="str">
        <x:v>welding</x:v>
      </x:c>
      <x:c r="C12" s="176" t="str">
        <x:v>Welding</x:v>
      </x:c>
      <x:c r="D12" s="176" t="str">
        <x:v>Manufacturing</x:v>
      </x:c>
      <x:c r="E12" s="176" t="str">
        <x:v>Manufacturing owner TBD</x:v>
      </x:c>
      <x:c r="F12" s="176" t="str">
        <x:v>Cut/formed/machined parts, weld procedures, fixtures, qualifications, drawings</x:v>
      </x:c>
      <x:c r="G12" s="176" t="str">
        <x:v>Fit-up, tack, weld, inspect welds, document required qualification records</x:v>
      </x:c>
      <x:c r="H12" s="176" t="str">
        <x:v>Welded assemblies, weld records, inspection status, rework/nonconformance triggers</x:v>
      </x:c>
      <x:c r="I12" s="176" t="str">
        <x:v>Fit-up inspection, WPS/PQR/WPQ requirements, visual weld inspection, dimensional checks</x:v>
      </x:c>
      <x:c r="J12" s="176" t="str">
        <x:v>JobBoss2 welding operation status</x:v>
      </x:c>
      <x:c r="K12" s="176" t="str">
        <x:v>WeldEye/WPS library and fixture photo database</x:v>
      </x:c>
      <x:c r="L12" s="176" t="str">
        <x:v>Welder Qualification and Fixture Tracker</x:v>
      </x:c>
      <x:c r="M12" s="176" t="str">
        <x:v>AI weld documentation and visual-inspection prompt</x:v>
      </x:c>
      <x:c r="N12" s="176" t="str">
        <x:v>WPS, qualification, fit-up notes, and inspection records can live in separate places.</x:v>
      </x:c>
      <x:c r="O12" s="176" t="str">
        <x:v>AI-guided documentation checks can improve record completeness and reduce lookup time.</x:v>
      </x:c>
      <x:c r="P12" s="176" t="str">
        <x:v>Notional 1-3 hours/week saved in weld-documentation follow-up.</x:v>
      </x:c>
      <x:c r="Q12" s="176" t="str">
        <x:v>Current State</x:v>
      </x:c>
      <x:c r="R12" s="178" t="n">
        <x:f>COUNTIF('Flowchart Edges'!$D$2:$D$21,B12)</x:f>
        <x:v>1</x:v>
      </x:c>
      <x:c r="S12" s="178" t="n">
        <x:f>COUNTIF('Flowchart Edges'!$E$2:$E$21,B12)</x:f>
        <x:v>1</x:v>
      </x:c>
      <x:c r="T12" s="178" t="n">
        <x:f>COUNTIF('Process Software'!$A$2:$A$73,B12)</x:f>
        <x:v>4</x:v>
      </x:c>
      <x:c r="U12" s="24" t="str">
        <x:v>Notional demo content; validate and replace with actual Tabet systems before production use.</x:v>
      </x:c>
    </x:row>
    <x:row r="13">
      <x:c r="A13" s="23" t="str">
        <x:v>L</x:v>
      </x:c>
      <x:c r="B13" s="176" t="str">
        <x:v>grinding_finishing</x:v>
      </x:c>
      <x:c r="C13" s="176" t="str">
        <x:v>Grinding &amp; Finishing</x:v>
      </x:c>
      <x:c r="D13" s="176" t="str">
        <x:v>Finishing &amp; Special Processes</x:v>
      </x:c>
      <x:c r="E13" s="176" t="str">
        <x:v>Finishing &amp; Special Processes owner TBD</x:v>
      </x:c>
      <x:c r="F13" s="176" t="str">
        <x:v>Fabricated parts/assemblies, finish requirements, rework notes, inspection requirements</x:v>
      </x:c>
      <x:c r="G13" s="176" t="str">
        <x:v>Deburr, grind, blend, surface prep, confirm cosmetic/functional finish needs</x:v>
      </x:c>
      <x:c r="H13" s="176" t="str">
        <x:v>Finished parts ready for coating/marking/assembly, finish status, rework notes</x:v>
      </x:c>
      <x:c r="I13" s="176" t="str">
        <x:v>Surface finish check, burr/sharp-edge check, dimensional impact review</x:v>
      </x:c>
      <x:c r="J13" s="176" t="str">
        <x:v>JobBoss2 finishing operation status</x:v>
      </x:c>
      <x:c r="K13" s="176" t="str">
        <x:v>Digital work instructions and finish photo standard library</x:v>
      </x:c>
      <x:c r="L13" s="176" t="str">
        <x:v>Grinding Rework and Finish Standard Log</x:v>
      </x:c>
      <x:c r="M13" s="176" t="str">
        <x:v>AI finish defect classification and rework notes</x:v>
      </x:c>
      <x:c r="N13" s="176" t="str">
        <x:v>Finish expectations and rework causes may not be consistently captured.</x:v>
      </x:c>
      <x:c r="O13" s="176" t="str">
        <x:v>Use photo standards and defect categorization to support consistent finishing decisions.</x:v>
      </x:c>
      <x:c r="P13" s="176" t="str">
        <x:v>Notional 5-10% reduction in recurring finish rework.</x:v>
      </x:c>
      <x:c r="Q13" s="176" t="str">
        <x:v>Current State</x:v>
      </x:c>
      <x:c r="R13" s="178" t="n">
        <x:f>COUNTIF('Flowchart Edges'!$D$2:$D$21,B13)</x:f>
        <x:v>1</x:v>
      </x:c>
      <x:c r="S13" s="178" t="n">
        <x:f>COUNTIF('Flowchart Edges'!$E$2:$E$21,B13)</x:f>
        <x:v>4</x:v>
      </x:c>
      <x:c r="T13" s="178" t="n">
        <x:f>COUNTIF('Process Software'!$A$2:$A$73,B13)</x:f>
        <x:v>4</x:v>
      </x:c>
      <x:c r="U13" s="24" t="str">
        <x:v>Notional demo content; validate and replace with actual Tabet systems before production use.</x:v>
      </x:c>
    </x:row>
    <x:row r="14">
      <x:c r="A14" s="23" t="str">
        <x:v>M</x:v>
      </x:c>
      <x:c r="B14" s="176" t="str">
        <x:v>coatings</x:v>
      </x:c>
      <x:c r="C14" s="176" t="str">
        <x:v>Coatings</x:v>
      </x:c>
      <x:c r="D14" s="176" t="str">
        <x:v>Finishing &amp; Special Processes</x:v>
      </x:c>
      <x:c r="E14" s="176" t="str">
        <x:v>Finishing &amp; Special Processes owner TBD</x:v>
      </x:c>
      <x:c r="F14" s="176" t="str">
        <x:v>Finished parts, coating specifications, color/finish requirements, supplier/internal route</x:v>
      </x:c>
      <x:c r="G14" s="176" t="str">
        <x:v>Prepare coating order, track outside/internal coating, verify certs and finish requirements</x:v>
      </x:c>
      <x:c r="H14" s="176" t="str">
        <x:v>Coated parts, coating records/certs, status update, discrepancy record if needed</x:v>
      </x:c>
      <x:c r="I14" s="176" t="str">
        <x:v>Specification verification, cert review, coating quality inspection</x:v>
      </x:c>
      <x:c r="J14" s="176" t="str">
        <x:v>JobBoss2 outside processing and coating operations</x:v>
      </x:c>
      <x:c r="K14" s="176" t="str">
        <x:v>Coating supplier portal and certificate repository</x:v>
      </x:c>
      <x:c r="L14" s="176" t="str">
        <x:v>Outside Process Status Tracker</x:v>
      </x:c>
      <x:c r="M14" s="176" t="str">
        <x:v>AI coating cert review and due-back risk alert</x:v>
      </x:c>
      <x:c r="N14" s="176" t="str">
        <x:v>Outside-process status and coating certs can be difficult to monitor in real time.</x:v>
      </x:c>
      <x:c r="O14" s="176" t="str">
        <x:v>Use supplier status tracking and AI cert review to prevent late surprises.</x:v>
      </x:c>
      <x:c r="P14" s="176" t="str">
        <x:v>Notional 2-4 hours/week saved in outside-process follow-up.</x:v>
      </x:c>
      <x:c r="Q14" s="176" t="str">
        <x:v>Current State</x:v>
      </x:c>
      <x:c r="R14" s="178" t="n">
        <x:f>COUNTIF('Flowchart Edges'!$D$2:$D$21,B14)</x:f>
        <x:v>1</x:v>
      </x:c>
      <x:c r="S14" s="178" t="n">
        <x:f>COUNTIF('Flowchart Edges'!$E$2:$E$21,B14)</x:f>
        <x:v>1</x:v>
      </x:c>
      <x:c r="T14" s="178" t="n">
        <x:f>COUNTIF('Process Software'!$A$2:$A$73,B14)</x:f>
        <x:v>4</x:v>
      </x:c>
      <x:c r="U14" s="24" t="str">
        <x:v>Notional demo content; validate and replace with actual Tabet systems before production use.</x:v>
      </x:c>
    </x:row>
    <x:row r="15">
      <x:c r="A15" s="23" t="str">
        <x:v>N</x:v>
      </x:c>
      <x:c r="B15" s="176" t="str">
        <x:v>marking</x:v>
      </x:c>
      <x:c r="C15" s="176" t="str">
        <x:v>Marking</x:v>
      </x:c>
      <x:c r="D15" s="176" t="str">
        <x:v>Finishing &amp; Special Processes</x:v>
      </x:c>
      <x:c r="E15" s="176" t="str">
        <x:v>Finishing &amp; Special Processes owner TBD</x:v>
      </x:c>
      <x:c r="F15" s="176" t="str">
        <x:v>Coated/finished parts, marking requirements, artwork, labels, serialization data</x:v>
      </x:c>
      <x:c r="G15" s="176" t="str">
        <x:v>Apply labels, engraving, silk screen, laser marking, verify placement and content</x:v>
      </x:c>
      <x:c r="H15" s="176" t="str">
        <x:v>Marked parts, marking records, serialization/trace data, inspection status</x:v>
      </x:c>
      <x:c r="I15" s="176" t="str">
        <x:v>MIL-STD-130 or customer requirement check, placement/content verification</x:v>
      </x:c>
      <x:c r="J15" s="176" t="str">
        <x:v>JobBoss2 marking operation status</x:v>
      </x:c>
      <x:c r="K15" s="176" t="str">
        <x:v>Bartender label software and laser marking controller</x:v>
      </x:c>
      <x:c r="L15" s="176" t="str">
        <x:v>Serialization and Label Verification Tracker</x:v>
      </x:c>
      <x:c r="M15" s="176" t="str">
        <x:v>AI marking artwork and requirement verification</x:v>
      </x:c>
      <x:c r="N15" s="176" t="str">
        <x:v>Marking content, placement, serial format, and artwork errors can be costly late-stage issues.</x:v>
      </x:c>
      <x:c r="O15" s="176" t="str">
        <x:v>Automated artwork and requirement checks can reduce marking escapes.</x:v>
      </x:c>
      <x:c r="P15" s="176" t="str">
        <x:v>Notional 30-90 minutes saved per complex marking package.</x:v>
      </x:c>
      <x:c r="Q15" s="176" t="str">
        <x:v>Current State</x:v>
      </x:c>
      <x:c r="R15" s="178" t="n">
        <x:f>COUNTIF('Flowchart Edges'!$D$2:$D$21,B15)</x:f>
        <x:v>1</x:v>
      </x:c>
      <x:c r="S15" s="178" t="n">
        <x:f>COUNTIF('Flowchart Edges'!$E$2:$E$21,B15)</x:f>
        <x:v>1</x:v>
      </x:c>
      <x:c r="T15" s="178" t="n">
        <x:f>COUNTIF('Process Software'!$A$2:$A$73,B15)</x:f>
        <x:v>4</x:v>
      </x:c>
      <x:c r="U15" s="24" t="str">
        <x:v>Notional demo content; validate and replace with actual Tabet systems before production use.</x:v>
      </x:c>
    </x:row>
    <x:row r="16">
      <x:c r="A16" s="23" t="str">
        <x:v>O</x:v>
      </x:c>
      <x:c r="B16" s="176" t="str">
        <x:v>assembly</x:v>
      </x:c>
      <x:c r="C16" s="176" t="str">
        <x:v>Assembly</x:v>
      </x:c>
      <x:c r="D16" s="176" t="str">
        <x:v>Assembly &amp; Test</x:v>
      </x:c>
      <x:c r="E16" s="176" t="str">
        <x:v>Assembly &amp; Test owner TBD</x:v>
      </x:c>
      <x:c r="F16" s="176" t="str">
        <x:v>Kitted parts, work instructions, hardware, wiring, tools, drawings, shortages list</x:v>
      </x:c>
      <x:c r="G16" s="176" t="str">
        <x:v>Assemble components, record progress, resolve shortages, perform build checks</x:v>
      </x:c>
      <x:c r="H16" s="176" t="str">
        <x:v>Completed assembly, build records, shortage/rework notes, test-ready unit</x:v>
      </x:c>
      <x:c r="I16" s="176" t="str">
        <x:v>Assembly verification, torque/fit checks, traveler signoff, shortage closure</x:v>
      </x:c>
      <x:c r="J16" s="176" t="str">
        <x:v>JobBoss2 assembly operation and kitting status</x:v>
      </x:c>
      <x:c r="K16" s="176" t="str">
        <x:v>Digital work instructions and kitting app</x:v>
      </x:c>
      <x:c r="L16" s="176" t="str">
        <x:v>Assembly Shortage and Build Issue Tracker</x:v>
      </x:c>
      <x:c r="M16" s="176" t="str">
        <x:v>AI guided assembly and shortage predictor</x:v>
      </x:c>
      <x:c r="N16" s="176" t="str">
        <x:v>Shortages and build issues can interrupt assembly flow.</x:v>
      </x:c>
      <x:c r="O16" s="176" t="str">
        <x:v>Guided assembly and shortage prediction can reduce stops and rework.</x:v>
      </x:c>
      <x:c r="P16" s="176" t="str">
        <x:v>Notional 5-10% reduction in assembly interruption time.</x:v>
      </x:c>
      <x:c r="Q16" s="176" t="str">
        <x:v>Current State</x:v>
      </x:c>
      <x:c r="R16" s="178" t="n">
        <x:f>COUNTIF('Flowchart Edges'!$D$2:$D$21,B16)</x:f>
        <x:v>1</x:v>
      </x:c>
      <x:c r="S16" s="178" t="n">
        <x:f>COUNTIF('Flowchart Edges'!$E$2:$E$21,B16)</x:f>
        <x:v>1</x:v>
      </x:c>
      <x:c r="T16" s="178" t="n">
        <x:f>COUNTIF('Process Software'!$A$2:$A$73,B16)</x:f>
        <x:v>4</x:v>
      </x:c>
      <x:c r="U16" s="24" t="str">
        <x:v>Notional demo content; validate and replace with actual Tabet systems before production use.</x:v>
      </x:c>
    </x:row>
    <x:row r="17">
      <x:c r="A17" s="23" t="str">
        <x:v>P</x:v>
      </x:c>
      <x:c r="B17" s="176" t="str">
        <x:v>testing</x:v>
      </x:c>
      <x:c r="C17" s="176" t="str">
        <x:v>Testing</x:v>
      </x:c>
      <x:c r="D17" s="176" t="str">
        <x:v>Assembly &amp; Test</x:v>
      </x:c>
      <x:c r="E17" s="176" t="str">
        <x:v>Assembly &amp; Test owner TBD</x:v>
      </x:c>
      <x:c r="F17" s="176" t="str">
        <x:v>Completed assembly, test procedure, equipment, acceptance criteria, customer requirements</x:v>
      </x:c>
      <x:c r="G17" s="176" t="str">
        <x:v>Run required tests, collect results, document failures, route rework if needed</x:v>
      </x:c>
      <x:c r="H17" s="176" t="str">
        <x:v>Test results, accepted/rejected status, rework actions, final inspection package</x:v>
      </x:c>
      <x:c r="I17" s="176" t="str">
        <x:v>Procedure adherence, equipment calibration, data completeness, acceptance criteria</x:v>
      </x:c>
      <x:c r="J17" s="176" t="str">
        <x:v>JobBoss2 test operation completion</x:v>
      </x:c>
      <x:c r="K17" s="176" t="str">
        <x:v>LabVIEW/test bench software and calibration database</x:v>
      </x:c>
      <x:c r="L17" s="176" t="str">
        <x:v>Test Results and Failure Log</x:v>
      </x:c>
      <x:c r="M17" s="176" t="str">
        <x:v>AI test-result anomaly and report generator</x:v>
      </x:c>
      <x:c r="N17" s="176" t="str">
        <x:v>Test data review and report preparation can be manual and repetitive.</x:v>
      </x:c>
      <x:c r="O17" s="176" t="str">
        <x:v>AI anomaly detection and draft reporting can speed review while preserving approval control.</x:v>
      </x:c>
      <x:c r="P17" s="176" t="str">
        <x:v>Notional 30-60 minutes saved per test report package.</x:v>
      </x:c>
      <x:c r="Q17" s="176" t="str">
        <x:v>Current State</x:v>
      </x:c>
      <x:c r="R17" s="178" t="n">
        <x:f>COUNTIF('Flowchart Edges'!$D$2:$D$21,B17)</x:f>
        <x:v>1</x:v>
      </x:c>
      <x:c r="S17" s="178" t="n">
        <x:f>COUNTIF('Flowchart Edges'!$E$2:$E$21,B17)</x:f>
        <x:v>1</x:v>
      </x:c>
      <x:c r="T17" s="178" t="n">
        <x:f>COUNTIF('Process Software'!$A$2:$A$73,B17)</x:f>
        <x:v>4</x:v>
      </x:c>
      <x:c r="U17" s="24" t="str">
        <x:v>Notional demo content; validate and replace with actual Tabet systems before production use.</x:v>
      </x:c>
    </x:row>
    <x:row r="18">
      <x:c r="A18" s="23" t="str">
        <x:v>Q</x:v>
      </x:c>
      <x:c r="B18" s="176" t="str">
        <x:v>final_quality_assurance</x:v>
      </x:c>
      <x:c r="C18" s="176" t="str">
        <x:v>Final Quality Assurance</x:v>
      </x:c>
      <x:c r="D18" s="176" t="str">
        <x:v>Quality Assurance</x:v>
      </x:c>
      <x:c r="E18" s="176" t="str">
        <x:v>Quality Assurance owner TBD</x:v>
      </x:c>
      <x:c r="F18" s="176" t="str">
        <x:v>Completed/tested item, traveler, cert package, inspection plan, customer requirements</x:v>
      </x:c>
      <x:c r="G18" s="176" t="str">
        <x:v>Final inspection, documentation review, nonconformance handling, release approval</x:v>
      </x:c>
      <x:c r="H18" s="176" t="str">
        <x:v>Accepted product, final documentation package, shipping release or rework instruction</x:v>
      </x:c>
      <x:c r="I18" s="176" t="str">
        <x:v>Final inspection, documentation completeness, cert traceability, release authorization</x:v>
      </x:c>
      <x:c r="J18" s="176" t="str">
        <x:v>JobBoss2 quality status and final release</x:v>
      </x:c>
      <x:c r="K18" s="176" t="str">
        <x:v>UniPoint QMS and document control</x:v>
      </x:c>
      <x:c r="L18" s="176" t="str">
        <x:v>Final Inspection and Cert Package Checklist</x:v>
      </x:c>
      <x:c r="M18" s="176" t="str">
        <x:v>AI cert packet completeness and NCR trend reviewer</x:v>
      </x:c>
      <x:c r="N18" s="176" t="str">
        <x:v>Final documentation review can require checking many records across several systems.</x:v>
      </x:c>
      <x:c r="O18" s="176" t="str">
        <x:v>AI completeness review can flag missing certs, signoffs, or inspection records.</x:v>
      </x:c>
      <x:c r="P18" s="176" t="str">
        <x:v>Notional 1-2 hours saved per complex final release package.</x:v>
      </x:c>
      <x:c r="Q18" s="176" t="str">
        <x:v>Current State</x:v>
      </x:c>
      <x:c r="R18" s="178" t="n">
        <x:f>COUNTIF('Flowchart Edges'!$D$2:$D$21,B18)</x:f>
        <x:v>1</x:v>
      </x:c>
      <x:c r="S18" s="178" t="n">
        <x:f>COUNTIF('Flowchart Edges'!$E$2:$E$21,B18)</x:f>
        <x:v>1</x:v>
      </x:c>
      <x:c r="T18" s="178" t="n">
        <x:f>COUNTIF('Process Software'!$A$2:$A$73,B18)</x:f>
        <x:v>4</x:v>
      </x:c>
      <x:c r="U18" s="24" t="str">
        <x:v>Notional demo content; validate and replace with actual Tabet systems before production use.</x:v>
      </x:c>
    </x:row>
    <x:row r="19">
      <x:c r="A19" s="23" t="str">
        <x:v>R</x:v>
      </x:c>
      <x:c r="B19" s="176" t="str">
        <x:v>shipping_customer_delivery</x:v>
      </x:c>
      <x:c r="C19" s="176" t="str">
        <x:v>Shipping &amp; Customer Delivery</x:v>
      </x:c>
      <x:c r="D19" s="176" t="str">
        <x:v>Shipping</x:v>
      </x:c>
      <x:c r="E19" s="176" t="str">
        <x:v>Shipping owner TBD</x:v>
      </x:c>
      <x:c r="F19" s="176" t="str">
        <x:v>Released product, packing requirements, shipment documents, customer delivery requirements</x:v>
      </x:c>
      <x:c r="G19" s="176" t="str">
        <x:v>Pack, label, prepare documents, ship, notify customer, close delivery tasks</x:v>
      </x:c>
      <x:c r="H19" s="176" t="str">
        <x:v>Customer shipment, tracking information, delivery records, invoice trigger</x:v>
      </x:c>
      <x:c r="I19" s="176" t="str">
        <x:v>Shipping release, packaging verification, document packet check, carrier/tracking validation</x:v>
      </x:c>
      <x:c r="J19" s="176" t="str">
        <x:v>JobBoss2 shipping release and invoice trigger</x:v>
      </x:c>
      <x:c r="K19" s="176" t="str">
        <x:v>UPS WorldShip, FedEx Ship Manager, and carrier portals</x:v>
      </x:c>
      <x:c r="L19" s="176" t="str">
        <x:v>Shipping Commitments and Documentation Tracker</x:v>
      </x:c>
      <x:c r="M19" s="176" t="str">
        <x:v>AI shipment document checker and customer notification draft</x:v>
      </x:c>
      <x:c r="N19" s="176" t="str">
        <x:v>Shipment packets and customer notifications can be manually assembled.</x:v>
      </x:c>
      <x:c r="O19" s="176" t="str">
        <x:v>Automated packet checks and drafted notifications can speed release to carrier.</x:v>
      </x:c>
      <x:c r="P19" s="176" t="str">
        <x:v>Notional 20-45 minutes saved per shipment.</x:v>
      </x:c>
      <x:c r="Q19" s="176" t="str">
        <x:v>Current State</x:v>
      </x:c>
      <x:c r="R19" s="178" t="n">
        <x:f>COUNTIF('Flowchart Edges'!$D$2:$D$21,B19)</x:f>
        <x:v>0</x:v>
      </x:c>
      <x:c r="S19" s="178" t="n">
        <x:f>COUNTIF('Flowchart Edges'!$E$2:$E$21,B19)</x:f>
        <x:v>1</x:v>
      </x:c>
      <x:c r="T19" s="178" t="n">
        <x:f>COUNTIF('Process Software'!$A$2:$A$73,B19)</x:f>
        <x:v>4</x:v>
      </x:c>
      <x:c r="U19" s="24" t="str">
        <x:v>Notional demo content; validate and replace with actual Tabet systems before production use.</x:v>
      </x:c>
    </x:row>
  </x:sheetData>
  <x:dataValidations count="2">
    <x:dataValidation type="list" sqref="D2:D19">
      <x:formula1>"Sales &amp; Quoting,Order Processing,Engineering &amp; Planning,Supply Chain,Project Management,Manufacturing,Finishing &amp; Special Processes,Assembly &amp; Test,Quality Assurance,Shipping"</x:formula1>
    </x:dataValidation>
    <x:dataValidation type="list" sqref="Q2:Q19">
      <x:formula1>"Current State,In Review,Active Project,Future Opportunity,Not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39d2ea658a49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34" hidden="0" customWidth="1"/>
    <x:col min="4" max="4" width="24" hidden="0" customWidth="1"/>
    <x:col min="5" max="5" width="34" hidden="0" customWidth="1"/>
    <x:col min="6" max="6" width="22" hidden="0" customWidth="1"/>
    <x:col min="7" max="7" width="28" hidden="0" customWidth="1"/>
    <x:col min="8" max="8" width="34" hidden="0" customWidth="1"/>
    <x:col min="9" max="9" width="38" hidden="0" customWidth="1"/>
    <x:col min="10" max="10" width="28" hidden="0" customWidth="1"/>
    <x:col min="11" max="11" width="38" hidden="0" customWidth="1"/>
  </x:cols>
  <x:sheetData>
    <x:row r="1">
      <x:c r="A1" s="11" t="str">
        <x:v>node_id</x:v>
      </x:c>
      <x:c r="B1" s="11" t="str">
        <x:v>flowchart_key</x:v>
      </x:c>
      <x:c r="C1" s="11" t="str">
        <x:v>process_area</x:v>
      </x:c>
      <x:c r="D1" s="11" t="str">
        <x:v>software_category</x:v>
      </x:c>
      <x:c r="E1" s="11" t="str">
        <x:v>package_name_notional</x:v>
      </x:c>
      <x:c r="F1" s="11" t="str">
        <x:v>lifecycle_status</x:v>
      </x:c>
      <x:c r="G1" s="11" t="str">
        <x:v>system_owner</x:v>
      </x:c>
      <x:c r="H1" s="11" t="str">
        <x:v>integration_direction</x:v>
      </x:c>
      <x:c r="I1" s="11" t="str">
        <x:v>key_data_objects</x:v>
      </x:c>
      <x:c r="J1" s="11" t="str">
        <x:v>react_detail_field</x:v>
      </x:c>
      <x:c r="K1" s="11" t="str">
        <x:v>notes</x:v>
      </x:c>
    </x:row>
    <x:row r="2">
      <x:c r="A2" s="21" t="str">
        <x:v>sales_customer_opportunities</x:v>
      </x:c>
      <x:c r="B2" s="175" t="str">
        <x:v>A</x:v>
      </x:c>
      <x:c r="C2" s="175" t="str">
        <x:v>Sales &amp; Customer Opportunities</x:v>
      </x:c>
      <x:c r="D2" s="175" t="str">
        <x:v>ERP/MRP System</x:v>
      </x:c>
      <x:c r="E2" s="175" t="str">
        <x:v>JobBoss2 CRM/customer master module</x:v>
      </x:c>
      <x:c r="F2" s="175" t="str">
        <x:v>Notional Current</x:v>
      </x:c>
      <x:c r="G2" s="175" t="str">
        <x:v>Sales Manager / ERP Administrator</x:v>
      </x:c>
      <x:c r="H2" s="175" t="str">
        <x:v>CRM opportunity data feeds quote and customer records</x:v>
      </x:c>
      <x:c r="I2" s="175" t="str">
        <x:v>Customer, contact, opportunity, RFQ, forecast demand</x:v>
      </x:c>
      <x:c r="J2" s="175" t="str">
        <x:v>erp_mrp_system</x:v>
      </x:c>
      <x:c r="K2" s="22" t="str">
        <x:v>Illustrative customer/opportunity intake system for demo purposes.</x:v>
      </x:c>
    </x:row>
    <x:row r="3">
      <x:c r="A3" s="23" t="str">
        <x:v>sales_customer_opportunities</x:v>
      </x:c>
      <x:c r="B3" s="176" t="str">
        <x:v>A</x:v>
      </x:c>
      <x:c r="C3" s="176" t="str">
        <x:v>Sales &amp; Customer Opportunities</x:v>
      </x:c>
      <x:c r="D3" s="176" t="str">
        <x:v>Department Software</x:v>
      </x:c>
      <x:c r="E3" s="176" t="str">
        <x:v>HubSpot CRM and Microsoft Outlook</x:v>
      </x:c>
      <x:c r="F3" s="176" t="str">
        <x:v>Notional Current</x:v>
      </x:c>
      <x:c r="G3" s="176" t="str">
        <x:v>Sales Manager</x:v>
      </x:c>
      <x:c r="H3" s="176" t="str">
        <x:v>Email and CRM activity summarized into opportunity records</x:v>
      </x:c>
      <x:c r="I3" s="176" t="str">
        <x:v>Emails, call notes, follow-up tasks, customer contacts</x:v>
      </x:c>
      <x:c r="J3" s="176" t="str">
        <x:v>department_software</x:v>
      </x:c>
      <x:c r="K3" s="24" t="str">
        <x:v>Use as an example sales stack; replace with actual tools later.</x:v>
      </x:c>
    </x:row>
    <x:row r="4">
      <x:c r="A4" s="23" t="str">
        <x:v>sales_customer_opportunities</x:v>
      </x:c>
      <x:c r="B4" s="176" t="str">
        <x:v>A</x:v>
      </x:c>
      <x:c r="C4" s="176" t="str">
        <x:v>Sales &amp; Customer Opportunities</x:v>
      </x:c>
      <x:c r="D4" s="176" t="str">
        <x:v>Spreadsheet/Tracker</x:v>
      </x:c>
      <x:c r="E4" s="176" t="str">
        <x:v>Sales Opportunity Tracker.xlsx</x:v>
      </x:c>
      <x:c r="F4" s="176" t="str">
        <x:v>Notional Current</x:v>
      </x:c>
      <x:c r="G4" s="176" t="str">
        <x:v>Sales Coordinator</x:v>
      </x:c>
      <x:c r="H4" s="176" t="str">
        <x:v>Weekly export to flowchart app and leadership dashboard</x:v>
      </x:c>
      <x:c r="I4" s="176" t="str">
        <x:v>Opportunity stage, next action, expected RFQ date, win probability</x:v>
      </x:c>
      <x:c r="J4" s="176" t="str">
        <x:v>spreadsheet_tracker</x:v>
      </x:c>
      <x:c r="K4" s="24" t="str">
        <x:v>Shows how spreadsheets can remain visible in the React details panel.</x:v>
      </x:c>
    </x:row>
    <x:row r="5">
      <x:c r="A5" s="23" t="str">
        <x:v>sales_customer_opportunities</x:v>
      </x:c>
      <x:c r="B5" s="176" t="str">
        <x:v>A</x:v>
      </x:c>
      <x:c r="C5" s="176" t="str">
        <x:v>Sales &amp; Customer Opportunities</x:v>
      </x:c>
      <x:c r="D5" s="176" t="str">
        <x:v>AI/Automation</x:v>
      </x:c>
      <x:c r="E5" s="176" t="str">
        <x:v>AI RFQ intake and follow-up assistant</x:v>
      </x:c>
      <x:c r="F5" s="176" t="str">
        <x:v>Notional Proposed</x:v>
      </x:c>
      <x:c r="G5" s="176" t="str">
        <x:v>Sales Manager / IT</x:v>
      </x:c>
      <x:c r="H5" s="176" t="str">
        <x:v>Reads customer emails and drafts opportunity summaries for review</x:v>
      </x:c>
      <x:c r="I5" s="176" t="str">
        <x:v>Customer intent, due dates, drawings received, open questions</x:v>
      </x:c>
      <x:c r="J5" s="176" t="str">
        <x:v>ai_automation</x:v>
      </x:c>
      <x:c r="K5" s="24" t="str">
        <x:v>Illustrative automation focused on time savings and response speed.</x:v>
      </x:c>
    </x:row>
    <x:row r="6">
      <x:c r="A6" s="23" t="str">
        <x:v>estimating_quoting</x:v>
      </x:c>
      <x:c r="B6" s="176" t="str">
        <x:v>B</x:v>
      </x:c>
      <x:c r="C6" s="176" t="str">
        <x:v>Estimating &amp; Quoting</x:v>
      </x:c>
      <x:c r="D6" s="176" t="str">
        <x:v>ERP/MRP System</x:v>
      </x:c>
      <x:c r="E6" s="176" t="str">
        <x:v>JobBoss2 estimating and quote history</x:v>
      </x:c>
      <x:c r="F6" s="176" t="str">
        <x:v>Notional Current</x:v>
      </x:c>
      <x:c r="G6" s="176" t="str">
        <x:v>Estimating Lead</x:v>
      </x:c>
      <x:c r="H6" s="176" t="str">
        <x:v>Quote lines, routings, labor rates, and material assumptions move into order review</x:v>
      </x:c>
      <x:c r="I6" s="176" t="str">
        <x:v>Quote, estimate, routing template, material, price, margin</x:v>
      </x:c>
      <x:c r="J6" s="176" t="str">
        <x:v>erp_mrp_system</x:v>
      </x:c>
      <x:c r="K6" s="24" t="str">
        <x:v>Represents the central quoting record used by the downstream flow.</x:v>
      </x:c>
    </x:row>
    <x:row r="7">
      <x:c r="A7" s="23" t="str">
        <x:v>estimating_quoting</x:v>
      </x:c>
      <x:c r="B7" s="176" t="str">
        <x:v>B</x:v>
      </x:c>
      <x:c r="C7" s="176" t="str">
        <x:v>Estimating &amp; Quoting</x:v>
      </x:c>
      <x:c r="D7" s="176" t="str">
        <x:v>Department Software</x:v>
      </x:c>
      <x:c r="E7" s="176" t="str">
        <x:v>Paperless Parts or custom quoting calculator</x:v>
      </x:c>
      <x:c r="F7" s="176" t="str">
        <x:v>Notional Current</x:v>
      </x:c>
      <x:c r="G7" s="176" t="str">
        <x:v>Estimating Lead</x:v>
      </x:c>
      <x:c r="H7" s="176" t="str">
        <x:v>Imports drawing metadata and exports approved quote assumptions</x:v>
      </x:c>
      <x:c r="I7" s="176" t="str">
        <x:v>Drawing features, process assumptions, labor estimate, quote package</x:v>
      </x:c>
      <x:c r="J7" s="176" t="str">
        <x:v>department_software</x:v>
      </x:c>
      <x:c r="K7" s="24" t="str">
        <x:v>Notional example of a quoting-specific tool.</x:v>
      </x:c>
    </x:row>
    <x:row r="8">
      <x:c r="A8" s="23" t="str">
        <x:v>estimating_quoting</x:v>
      </x:c>
      <x:c r="B8" s="176" t="str">
        <x:v>B</x:v>
      </x:c>
      <x:c r="C8" s="176" t="str">
        <x:v>Estimating &amp; Quoting</x:v>
      </x:c>
      <x:c r="D8" s="176" t="str">
        <x:v>Spreadsheet/Tracker</x:v>
      </x:c>
      <x:c r="E8" s="176" t="str">
        <x:v>Quote Assumptions and Win/Loss Tracker</x:v>
      </x:c>
      <x:c r="F8" s="176" t="str">
        <x:v>Notional Current</x:v>
      </x:c>
      <x:c r="G8" s="176" t="str">
        <x:v>Sales / Estimating</x:v>
      </x:c>
      <x:c r="H8" s="176" t="str">
        <x:v>Referenced during quote reviews and updated after award/loss</x:v>
      </x:c>
      <x:c r="I8" s="176" t="str">
        <x:v>Assumptions, exceptions, risk notes, quote status, award result</x:v>
      </x:c>
      <x:c r="J8" s="176" t="str">
        <x:v>spreadsheet_tracker</x:v>
      </x:c>
      <x:c r="K8" s="24" t="str">
        <x:v>Useful for demoing historical learning loops.</x:v>
      </x:c>
    </x:row>
    <x:row r="9">
      <x:c r="A9" s="23" t="str">
        <x:v>estimating_quoting</x:v>
      </x:c>
      <x:c r="B9" s="176" t="str">
        <x:v>B</x:v>
      </x:c>
      <x:c r="C9" s="176" t="str">
        <x:v>Estimating &amp; Quoting</x:v>
      </x:c>
      <x:c r="D9" s="176" t="str">
        <x:v>AI/Automation</x:v>
      </x:c>
      <x:c r="E9" s="176" t="str">
        <x:v>AI quote comparison and manufacturability screener</x:v>
      </x:c>
      <x:c r="F9" s="176" t="str">
        <x:v>Notional Proposed</x:v>
      </x:c>
      <x:c r="G9" s="176" t="str">
        <x:v>Estimating Lead / Engineering</x:v>
      </x:c>
      <x:c r="H9" s="176" t="str">
        <x:v>Compares new RFQs against prior jobs and flags missing inputs</x:v>
      </x:c>
      <x:c r="I9" s="176" t="str">
        <x:v>Similar jobs, labor variance, drawing risks, missing requirements</x:v>
      </x:c>
      <x:c r="J9" s="176" t="str">
        <x:v>ai_automation</x:v>
      </x:c>
      <x:c r="K9" s="24" t="str">
        <x:v>Sample AI use case for faster and more consistent quotes.</x:v>
      </x:c>
    </x:row>
    <x:row r="10">
      <x:c r="A10" s="23" t="str">
        <x:v>order_review_processing</x:v>
      </x:c>
      <x:c r="B10" s="176" t="str">
        <x:v>C</x:v>
      </x:c>
      <x:c r="C10" s="176" t="str">
        <x:v>Order Review &amp; Processing</x:v>
      </x:c>
      <x:c r="D10" s="176" t="str">
        <x:v>ERP/MRP System</x:v>
      </x:c>
      <x:c r="E10" s="176" t="str">
        <x:v>JobBoss2 sales order and job creation</x:v>
      </x:c>
      <x:c r="F10" s="176" t="str">
        <x:v>Notional Current</x:v>
      </x:c>
      <x:c r="G10" s="176" t="str">
        <x:v>Customer Service / ERP Administrator</x:v>
      </x:c>
      <x:c r="H10" s="176" t="str">
        <x:v>Accepted quote converts to sales order, job, due dates, and requirements</x:v>
      </x:c>
      <x:c r="I10" s="176" t="str">
        <x:v>Sales order, job, customer PO, due date, contract requirements</x:v>
      </x:c>
      <x:c r="J10" s="176" t="str">
        <x:v>erp_mrp_system</x:v>
      </x:c>
      <x:c r="K10" s="24" t="str">
        <x:v>Central handoff from commercial activity into controlled order processing.</x:v>
      </x:c>
    </x:row>
    <x:row r="11">
      <x:c r="A11" s="23" t="str">
        <x:v>order_review_processing</x:v>
      </x:c>
      <x:c r="B11" s="176" t="str">
        <x:v>C</x:v>
      </x:c>
      <x:c r="C11" s="176" t="str">
        <x:v>Order Review &amp; Processing</x:v>
      </x:c>
      <x:c r="D11" s="176" t="str">
        <x:v>Department Software</x:v>
      </x:c>
      <x:c r="E11" s="176" t="str">
        <x:v>Microsoft SharePoint order package library</x:v>
      </x:c>
      <x:c r="F11" s="176" t="str">
        <x:v>Notional Current</x:v>
      </x:c>
      <x:c r="G11" s="176" t="str">
        <x:v>Order Processing Lead</x:v>
      </x:c>
      <x:c r="H11" s="176" t="str">
        <x:v>Stores PO, drawings, amendments, and review checklist</x:v>
      </x:c>
      <x:c r="I11" s="176" t="str">
        <x:v>PO, quote, drawings, revisions, contract review checklist</x:v>
      </x:c>
      <x:c r="J11" s="176" t="str">
        <x:v>department_software</x:v>
      </x:c>
      <x:c r="K11" s="24" t="str">
        <x:v>Shows a document-control surface for order intake.</x:v>
      </x:c>
    </x:row>
    <x:row r="12">
      <x:c r="A12" s="23" t="str">
        <x:v>order_review_processing</x:v>
      </x:c>
      <x:c r="B12" s="176" t="str">
        <x:v>C</x:v>
      </x:c>
      <x:c r="C12" s="176" t="str">
        <x:v>Order Review &amp; Processing</x:v>
      </x:c>
      <x:c r="D12" s="176" t="str">
        <x:v>Spreadsheet/Tracker</x:v>
      </x:c>
      <x:c r="E12" s="176" t="str">
        <x:v>Contract Review Exceptions Log</x:v>
      </x:c>
      <x:c r="F12" s="176" t="str">
        <x:v>Notional Current</x:v>
      </x:c>
      <x:c r="G12" s="176" t="str">
        <x:v>Quality / Order Processing</x:v>
      </x:c>
      <x:c r="H12" s="176" t="str">
        <x:v>Exceptions feed kickoff agenda and risk review</x:v>
      </x:c>
      <x:c r="I12" s="176" t="str">
        <x:v>PO exceptions, customer requirements, due-date concerns, approvals</x:v>
      </x:c>
      <x:c r="J12" s="176" t="str">
        <x:v>spreadsheet_tracker</x:v>
      </x:c>
      <x:c r="K12" s="24" t="str">
        <x:v>Replace with actual review mechanism when validated.</x:v>
      </x:c>
    </x:row>
    <x:row r="13">
      <x:c r="A13" s="23" t="str">
        <x:v>order_review_processing</x:v>
      </x:c>
      <x:c r="B13" s="176" t="str">
        <x:v>C</x:v>
      </x:c>
      <x:c r="C13" s="176" t="str">
        <x:v>Order Review &amp; Processing</x:v>
      </x:c>
      <x:c r="D13" s="176" t="str">
        <x:v>AI/Automation</x:v>
      </x:c>
      <x:c r="E13" s="176" t="str">
        <x:v>AI PO-to-quote mismatch checker</x:v>
      </x:c>
      <x:c r="F13" s="176" t="str">
        <x:v>Notional Proposed</x:v>
      </x:c>
      <x:c r="G13" s="176" t="str">
        <x:v>Order Processing / Quality</x:v>
      </x:c>
      <x:c r="H13" s="176" t="str">
        <x:v>Compares customer PO, quote, and drawings before job release</x:v>
      </x:c>
      <x:c r="I13" s="176" t="str">
        <x:v>Terms mismatch, revision mismatch, quantity variance, missing flowdowns</x:v>
      </x:c>
      <x:c r="J13" s="176" t="str">
        <x:v>ai_automation</x:v>
      </x:c>
      <x:c r="K13" s="24" t="str">
        <x:v>Example automation for reducing order-entry and contract-review errors.</x:v>
      </x:c>
    </x:row>
    <x:row r="14">
      <x:c r="A14" s="23" t="str">
        <x:v>engineering_production_planning</x:v>
      </x:c>
      <x:c r="B14" s="176" t="str">
        <x:v>D</x:v>
      </x:c>
      <x:c r="C14" s="176" t="str">
        <x:v>Engineering &amp; Production Planning</x:v>
      </x:c>
      <x:c r="D14" s="176" t="str">
        <x:v>ERP/MRP System</x:v>
      </x:c>
      <x:c r="E14" s="176" t="str">
        <x:v>JobBoss2 BOM, routing, and job planning</x:v>
      </x:c>
      <x:c r="F14" s="176" t="str">
        <x:v>Notional Current</x:v>
      </x:c>
      <x:c r="G14" s="176" t="str">
        <x:v>Engineering Manager</x:v>
      </x:c>
      <x:c r="H14" s="176" t="str">
        <x:v>Engineering release updates BOM, routing, and production job package</x:v>
      </x:c>
      <x:c r="I14" s="176" t="str">
        <x:v>BOM, routing, operation sequence, work instructions, revisions</x:v>
      </x:c>
      <x:c r="J14" s="176" t="str">
        <x:v>erp_mrp_system</x:v>
      </x:c>
      <x:c r="K14" s="24" t="str">
        <x:v>Represents the system of record for planned production steps.</x:v>
      </x:c>
    </x:row>
    <x:row r="15">
      <x:c r="A15" s="23" t="str">
        <x:v>engineering_production_planning</x:v>
      </x:c>
      <x:c r="B15" s="176" t="str">
        <x:v>D</x:v>
      </x:c>
      <x:c r="C15" s="176" t="str">
        <x:v>Engineering &amp; Production Planning</x:v>
      </x:c>
      <x:c r="D15" s="176" t="str">
        <x:v>Department Software</x:v>
      </x:c>
      <x:c r="E15" s="176" t="str">
        <x:v>SOLIDWORKS PDM, AutoCAD, and Bluebeam</x:v>
      </x:c>
      <x:c r="F15" s="176" t="str">
        <x:v>Notional Current</x:v>
      </x:c>
      <x:c r="G15" s="176" t="str">
        <x:v>Engineering Manager</x:v>
      </x:c>
      <x:c r="H15" s="176" t="str">
        <x:v>Drawing and CAD metadata support BOM/routing and shop release</x:v>
      </x:c>
      <x:c r="I15" s="176" t="str">
        <x:v>CAD files, PDFs, revisions, redlines, engineering questions</x:v>
      </x:c>
      <x:c r="J15" s="176" t="str">
        <x:v>department_software</x:v>
      </x:c>
      <x:c r="K15" s="24" t="str">
        <x:v>Notional engineering toolset for demo structure.</x:v>
      </x:c>
    </x:row>
    <x:row r="16">
      <x:c r="A16" s="23" t="str">
        <x:v>engineering_production_planning</x:v>
      </x:c>
      <x:c r="B16" s="176" t="str">
        <x:v>D</x:v>
      </x:c>
      <x:c r="C16" s="176" t="str">
        <x:v>Engineering &amp; Production Planning</x:v>
      </x:c>
      <x:c r="D16" s="176" t="str">
        <x:v>Spreadsheet/Tracker</x:v>
      </x:c>
      <x:c r="E16" s="176" t="str">
        <x:v>Engineering Release and Open Questions Log</x:v>
      </x:c>
      <x:c r="F16" s="176" t="str">
        <x:v>Notional Current</x:v>
      </x:c>
      <x:c r="G16" s="176" t="str">
        <x:v>Engineering Coordinator</x:v>
      </x:c>
      <x:c r="H16" s="176" t="str">
        <x:v>Tracks holds and open technical questions against release readiness</x:v>
      </x:c>
      <x:c r="I16" s="176" t="str">
        <x:v>Drawing status, question owner, due date, release approval</x:v>
      </x:c>
      <x:c r="J16" s="176" t="str">
        <x:v>spreadsheet_tracker</x:v>
      </x:c>
      <x:c r="K16" s="24" t="str">
        <x:v>Supports a React detail panel showing blockers.</x:v>
      </x:c>
    </x:row>
    <x:row r="17">
      <x:c r="A17" s="23" t="str">
        <x:v>engineering_production_planning</x:v>
      </x:c>
      <x:c r="B17" s="176" t="str">
        <x:v>D</x:v>
      </x:c>
      <x:c r="C17" s="176" t="str">
        <x:v>Engineering &amp; Production Planning</x:v>
      </x:c>
      <x:c r="D17" s="176" t="str">
        <x:v>AI/Automation</x:v>
      </x:c>
      <x:c r="E17" s="176" t="str">
        <x:v>AI drawing/BOM/routing consistency checker</x:v>
      </x:c>
      <x:c r="F17" s="176" t="str">
        <x:v>Notional Proposed</x:v>
      </x:c>
      <x:c r="G17" s="176" t="str">
        <x:v>Engineering / IT</x:v>
      </x:c>
      <x:c r="H17" s="176" t="str">
        <x:v>Reviews released package for missing operations, revision conflicts, and BOM gaps</x:v>
      </x:c>
      <x:c r="I17" s="176" t="str">
        <x:v>Drawing notes, BOM lines, routing operations, revision references</x:v>
      </x:c>
      <x:c r="J17" s="176" t="str">
        <x:v>ai_automation</x:v>
      </x:c>
      <x:c r="K17" s="24" t="str">
        <x:v>Illustrative AI quality gate before production release.</x:v>
      </x:c>
    </x:row>
    <x:row r="18">
      <x:c r="A18" s="23" t="str">
        <x:v>purchasing_supplier_management</x:v>
      </x:c>
      <x:c r="B18" s="176" t="str">
        <x:v>E</x:v>
      </x:c>
      <x:c r="C18" s="176" t="str">
        <x:v>Purchasing &amp; Supplier Management</x:v>
      </x:c>
      <x:c r="D18" s="176" t="str">
        <x:v>ERP/MRP System</x:v>
      </x:c>
      <x:c r="E18" s="176" t="str">
        <x:v>JobBoss2 purchasing and material requirements</x:v>
      </x:c>
      <x:c r="F18" s="176" t="str">
        <x:v>Notional Current</x:v>
      </x:c>
      <x:c r="G18" s="176" t="str">
        <x:v>Purchasing Manager</x:v>
      </x:c>
      <x:c r="H18" s="176" t="str">
        <x:v>MRP demand creates PO requirements and supplier commitments</x:v>
      </x:c>
      <x:c r="I18" s="176" t="str">
        <x:v>Purchase order, supplier, material, outside process, promised date</x:v>
      </x:c>
      <x:c r="J18" s="176" t="str">
        <x:v>erp_mrp_system</x:v>
      </x:c>
      <x:c r="K18" s="24" t="str">
        <x:v>Core notional purchasing system for the demo.</x:v>
      </x:c>
    </x:row>
    <x:row r="19">
      <x:c r="A19" s="23" t="str">
        <x:v>purchasing_supplier_management</x:v>
      </x:c>
      <x:c r="B19" s="176" t="str">
        <x:v>E</x:v>
      </x:c>
      <x:c r="C19" s="176" t="str">
        <x:v>Purchasing &amp; Supplier Management</x:v>
      </x:c>
      <x:c r="D19" s="176" t="str">
        <x:v>Department Software</x:v>
      </x:c>
      <x:c r="E19" s="176" t="str">
        <x:v>Supplier portal, Outlook, and Teams purchasing channel</x:v>
      </x:c>
      <x:c r="F19" s="176" t="str">
        <x:v>Notional Current</x:v>
      </x:c>
      <x:c r="G19" s="176" t="str">
        <x:v>Purchasing Manager</x:v>
      </x:c>
      <x:c r="H19" s="176" t="str">
        <x:v>Supplier emails and confirmations update PO status and expediting notes</x:v>
      </x:c>
      <x:c r="I19" s="176" t="str">
        <x:v>Supplier quotes, confirmations, expedite notes, cert requirements</x:v>
      </x:c>
      <x:c r="J19" s="176" t="str">
        <x:v>department_software</x:v>
      </x:c>
      <x:c r="K19" s="24" t="str">
        <x:v>Demonstrates supplier communication outside the ERP.</x:v>
      </x:c>
    </x:row>
    <x:row r="20">
      <x:c r="A20" s="23" t="str">
        <x:v>purchasing_supplier_management</x:v>
      </x:c>
      <x:c r="B20" s="176" t="str">
        <x:v>E</x:v>
      </x:c>
      <x:c r="C20" s="176" t="str">
        <x:v>Purchasing &amp; Supplier Management</x:v>
      </x:c>
      <x:c r="D20" s="176" t="str">
        <x:v>Spreadsheet/Tracker</x:v>
      </x:c>
      <x:c r="E20" s="176" t="str">
        <x:v>Material Shortage and Expedite Tracker</x:v>
      </x:c>
      <x:c r="F20" s="176" t="str">
        <x:v>Notional Current</x:v>
      </x:c>
      <x:c r="G20" s="176" t="str">
        <x:v>Purchasing / Project Management</x:v>
      </x:c>
      <x:c r="H20" s="176" t="str">
        <x:v>Feeds project risk review and daily production readiness meeting</x:v>
      </x:c>
      <x:c r="I20" s="176" t="str">
        <x:v>Shortage item, supplier ETA, job impact, escalation status</x:v>
      </x:c>
      <x:c r="J20" s="176" t="str">
        <x:v>spreadsheet_tracker</x:v>
      </x:c>
      <x:c r="K20" s="24" t="str">
        <x:v>Good demo example for operational visibility.</x:v>
      </x:c>
    </x:row>
    <x:row r="21">
      <x:c r="A21" s="23" t="str">
        <x:v>purchasing_supplier_management</x:v>
      </x:c>
      <x:c r="B21" s="176" t="str">
        <x:v>E</x:v>
      </x:c>
      <x:c r="C21" s="176" t="str">
        <x:v>Purchasing &amp; Supplier Management</x:v>
      </x:c>
      <x:c r="D21" s="176" t="str">
        <x:v>AI/Automation</x:v>
      </x:c>
      <x:c r="E21" s="176" t="str">
        <x:v>AI supplier ETA risk and expedite assistant</x:v>
      </x:c>
      <x:c r="F21" s="176" t="str">
        <x:v>Notional Proposed</x:v>
      </x:c>
      <x:c r="G21" s="176" t="str">
        <x:v>Purchasing / Project Management</x:v>
      </x:c>
      <x:c r="H21" s="176" t="str">
        <x:v>Monitors due dates and supplier messages to flag jobs at risk</x:v>
      </x:c>
      <x:c r="I21" s="176" t="str">
        <x:v>PO due dates, supplier confirmations, late risk, alternate source suggestions</x:v>
      </x:c>
      <x:c r="J21" s="176" t="str">
        <x:v>ai_automation</x:v>
      </x:c>
      <x:c r="K21" s="24" t="str">
        <x:v>Notional automation for preventing late material surprises.</x:v>
      </x:c>
    </x:row>
    <x:row r="22">
      <x:c r="A22" s="23" t="str">
        <x:v>receiving_material_control</x:v>
      </x:c>
      <x:c r="B22" s="176" t="str">
        <x:v>F</x:v>
      </x:c>
      <x:c r="C22" s="176" t="str">
        <x:v>Receiving &amp; Material Control</x:v>
      </x:c>
      <x:c r="D22" s="176" t="str">
        <x:v>ERP/MRP System</x:v>
      </x:c>
      <x:c r="E22" s="176" t="str">
        <x:v>JobBoss2 receiving and inventory transactions</x:v>
      </x:c>
      <x:c r="F22" s="176" t="str">
        <x:v>Notional Current</x:v>
      </x:c>
      <x:c r="G22" s="176" t="str">
        <x:v>Receiving Lead / Materials Manager</x:v>
      </x:c>
      <x:c r="H22" s="176" t="str">
        <x:v>PO receipts update material availability and job readiness</x:v>
      </x:c>
      <x:c r="I22" s="176" t="str">
        <x:v>Receipt, lot/heat, inventory location, cert, discrepancy</x:v>
      </x:c>
      <x:c r="J22" s="176" t="str">
        <x:v>erp_mrp_system</x:v>
      </x:c>
      <x:c r="K22" s="24" t="str">
        <x:v>Represents the material-control record used by the shop.</x:v>
      </x:c>
    </x:row>
    <x:row r="23">
      <x:c r="A23" s="23" t="str">
        <x:v>receiving_material_control</x:v>
      </x:c>
      <x:c r="B23" s="176" t="str">
        <x:v>F</x:v>
      </x:c>
      <x:c r="C23" s="176" t="str">
        <x:v>Receiving &amp; Material Control</x:v>
      </x:c>
      <x:c r="D23" s="176" t="str">
        <x:v>Department Software</x:v>
      </x:c>
      <x:c r="E23" s="176" t="str">
        <x:v>Barcode receiving station and document scanner</x:v>
      </x:c>
      <x:c r="F23" s="176" t="str">
        <x:v>Notional Current</x:v>
      </x:c>
      <x:c r="G23" s="176" t="str">
        <x:v>Receiving Lead</x:v>
      </x:c>
      <x:c r="H23" s="176" t="str">
        <x:v>Scans packing slips and certs to the order/job record</x:v>
      </x:c>
      <x:c r="I23" s="176" t="str">
        <x:v>Barcode, packing slip, cert PDF, material tag, location</x:v>
      </x:c>
      <x:c r="J23" s="176" t="str">
        <x:v>department_software</x:v>
      </x:c>
      <x:c r="K23" s="24" t="str">
        <x:v>Notional receiving-specific toolset.</x:v>
      </x:c>
    </x:row>
    <x:row r="24">
      <x:c r="A24" s="23" t="str">
        <x:v>receiving_material_control</x:v>
      </x:c>
      <x:c r="B24" s="176" t="str">
        <x:v>F</x:v>
      </x:c>
      <x:c r="C24" s="176" t="str">
        <x:v>Receiving &amp; Material Control</x:v>
      </x:c>
      <x:c r="D24" s="176" t="str">
        <x:v>Spreadsheet/Tracker</x:v>
      </x:c>
      <x:c r="E24" s="176" t="str">
        <x:v>Receiving Hold and Cert Review Log</x:v>
      </x:c>
      <x:c r="F24" s="176" t="str">
        <x:v>Notional Current</x:v>
      </x:c>
      <x:c r="G24" s="176" t="str">
        <x:v>Receiving / Quality</x:v>
      </x:c>
      <x:c r="H24" s="176" t="str">
        <x:v>Held material remains visible to project management and QA</x:v>
      </x:c>
      <x:c r="I24" s="176" t="str">
        <x:v>Hold reason, missing cert, inspection status, disposition</x:v>
      </x:c>
      <x:c r="J24" s="176" t="str">
        <x:v>spreadsheet_tracker</x:v>
      </x:c>
      <x:c r="K24" s="24" t="str">
        <x:v>Useful for highlighting material blockers in React.</x:v>
      </x:c>
    </x:row>
    <x:row r="25">
      <x:c r="A25" s="23" t="str">
        <x:v>receiving_material_control</x:v>
      </x:c>
      <x:c r="B25" s="176" t="str">
        <x:v>F</x:v>
      </x:c>
      <x:c r="C25" s="176" t="str">
        <x:v>Receiving &amp; Material Control</x:v>
      </x:c>
      <x:c r="D25" s="176" t="str">
        <x:v>AI/Automation</x:v>
      </x:c>
      <x:c r="E25" s="176" t="str">
        <x:v>AI cert OCR and material traceability checker</x:v>
      </x:c>
      <x:c r="F25" s="176" t="str">
        <x:v>Notional Proposed</x:v>
      </x:c>
      <x:c r="G25" s="176" t="str">
        <x:v>Quality / Receiving</x:v>
      </x:c>
      <x:c r="H25" s="176" t="str">
        <x:v>Extracts cert data and compares against PO/spec requirements</x:v>
      </x:c>
      <x:c r="I25" s="176" t="str">
        <x:v>Heat/lot, material grade, spec, cert values, mismatch flags</x:v>
      </x:c>
      <x:c r="J25" s="176" t="str">
        <x:v>ai_automation</x:v>
      </x:c>
      <x:c r="K25" s="24" t="str">
        <x:v>Example AI use case for quality and time savings at receiving.</x:v>
      </x:c>
    </x:row>
    <x:row r="26">
      <x:c r="A26" s="23" t="str">
        <x:v>project_management</x:v>
      </x:c>
      <x:c r="B26" s="176" t="str">
        <x:v>G</x:v>
      </x:c>
      <x:c r="C26" s="176" t="str">
        <x:v>Project Management</x:v>
      </x:c>
      <x:c r="D26" s="176" t="str">
        <x:v>ERP/MRP System</x:v>
      </x:c>
      <x:c r="E26" s="176" t="str">
        <x:v>JobBoss2 job status and schedule views</x:v>
      </x:c>
      <x:c r="F26" s="176" t="str">
        <x:v>Notional Current</x:v>
      </x:c>
      <x:c r="G26" s="176" t="str">
        <x:v>Project Manager</x:v>
      </x:c>
      <x:c r="H26" s="176" t="str">
        <x:v>Job status, material readiness, and operation completion feed project dashboard</x:v>
      </x:c>
      <x:c r="I26" s="176" t="str">
        <x:v>Job, operation status, due date, material status, ship date</x:v>
      </x:c>
      <x:c r="J26" s="176" t="str">
        <x:v>erp_mrp_system</x:v>
      </x:c>
      <x:c r="K26" s="24" t="str">
        <x:v>Central status record for PM visibility.</x:v>
      </x:c>
    </x:row>
    <x:row r="27">
      <x:c r="A27" s="23" t="str">
        <x:v>project_management</x:v>
      </x:c>
      <x:c r="B27" s="176" t="str">
        <x:v>G</x:v>
      </x:c>
      <x:c r="C27" s="176" t="str">
        <x:v>Project Management</x:v>
      </x:c>
      <x:c r="D27" s="176" t="str">
        <x:v>Department Software</x:v>
      </x:c>
      <x:c r="E27" s="176" t="str">
        <x:v>Microsoft Project, Planner, and Teams</x:v>
      </x:c>
      <x:c r="F27" s="176" t="str">
        <x:v>Notional Current</x:v>
      </x:c>
      <x:c r="G27" s="176" t="str">
        <x:v>Project Manager</x:v>
      </x:c>
      <x:c r="H27" s="176" t="str">
        <x:v>Milestones and action items link back to job/order records</x:v>
      </x:c>
      <x:c r="I27" s="176" t="str">
        <x:v>Milestones, risks, action items, customer updates, blockers</x:v>
      </x:c>
      <x:c r="J27" s="176" t="str">
        <x:v>department_software</x:v>
      </x:c>
      <x:c r="K27" s="24" t="str">
        <x:v>Shows project coordination outside the ERP.</x:v>
      </x:c>
    </x:row>
    <x:row r="28">
      <x:c r="A28" s="23" t="str">
        <x:v>project_management</x:v>
      </x:c>
      <x:c r="B28" s="176" t="str">
        <x:v>G</x:v>
      </x:c>
      <x:c r="C28" s="176" t="str">
        <x:v>Project Management</x:v>
      </x:c>
      <x:c r="D28" s="176" t="str">
        <x:v>Spreadsheet/Tracker</x:v>
      </x:c>
      <x:c r="E28" s="176" t="str">
        <x:v>Project Milestone and Risk Tracker</x:v>
      </x:c>
      <x:c r="F28" s="176" t="str">
        <x:v>Notional Current</x:v>
      </x:c>
      <x:c r="G28" s="176" t="str">
        <x:v>Project Manager</x:v>
      </x:c>
      <x:c r="H28" s="176" t="str">
        <x:v>Feeds daily standup and customer status reporting</x:v>
      </x:c>
      <x:c r="I28" s="176" t="str">
        <x:v>Milestone, owner, risk, mitigation, next update</x:v>
      </x:c>
      <x:c r="J28" s="176" t="str">
        <x:v>spreadsheet_tracker</x:v>
      </x:c>
      <x:c r="K28" s="24" t="str">
        <x:v>A clean example for PM detail panels.</x:v>
      </x:c>
    </x:row>
    <x:row r="29">
      <x:c r="A29" s="23" t="str">
        <x:v>project_management</x:v>
      </x:c>
      <x:c r="B29" s="176" t="str">
        <x:v>G</x:v>
      </x:c>
      <x:c r="C29" s="176" t="str">
        <x:v>Project Management</x:v>
      </x:c>
      <x:c r="D29" s="176" t="str">
        <x:v>AI/Automation</x:v>
      </x:c>
      <x:c r="E29" s="176" t="str">
        <x:v>AI project risk summary and blocker digest</x:v>
      </x:c>
      <x:c r="F29" s="176" t="str">
        <x:v>Notional Proposed</x:v>
      </x:c>
      <x:c r="G29" s="176" t="str">
        <x:v>Project Management / Leadership</x:v>
      </x:c>
      <x:c r="H29" s="176" t="str">
        <x:v>Summarizes late material, overdue operations, and open questions for each job</x:v>
      </x:c>
      <x:c r="I29" s="176" t="str">
        <x:v>Schedule risk, material risk, QA hold, customer action, next best action</x:v>
      </x:c>
      <x:c r="J29" s="176" t="str">
        <x:v>ai_automation</x:v>
      </x:c>
      <x:c r="K29" s="24" t="str">
        <x:v>Illustrative AI layer for time-saving status reviews.</x:v>
      </x:c>
    </x:row>
    <x:row r="30">
      <x:c r="A30" s="23" t="str">
        <x:v>laser_waterjet</x:v>
      </x:c>
      <x:c r="B30" s="176" t="str">
        <x:v>H</x:v>
      </x:c>
      <x:c r="C30" s="176" t="str">
        <x:v>Laser &amp; Waterjet</x:v>
      </x:c>
      <x:c r="D30" s="176" t="str">
        <x:v>ERP/MRP System</x:v>
      </x:c>
      <x:c r="E30" s="176" t="str">
        <x:v>JobBoss2 shop dispatch and operation completion</x:v>
      </x:c>
      <x:c r="F30" s="176" t="str">
        <x:v>Notional Current</x:v>
      </x:c>
      <x:c r="G30" s="176" t="str">
        <x:v>Fabrication Supervisor</x:v>
      </x:c>
      <x:c r="H30" s="176" t="str">
        <x:v>Released operation and completion status update job progress</x:v>
      </x:c>
      <x:c r="I30" s="176" t="str">
        <x:v>Operation, labor ticket, material issue, completion, scrap/remnant</x:v>
      </x:c>
      <x:c r="J30" s="176" t="str">
        <x:v>erp_mrp_system</x:v>
      </x:c>
      <x:c r="K30" s="24" t="str">
        <x:v>Notional system of record for shop-floor status.</x:v>
      </x:c>
    </x:row>
    <x:row r="31">
      <x:c r="A31" s="23" t="str">
        <x:v>laser_waterjet</x:v>
      </x:c>
      <x:c r="B31" s="176" t="str">
        <x:v>H</x:v>
      </x:c>
      <x:c r="C31" s="176" t="str">
        <x:v>Laser &amp; Waterjet</x:v>
      </x:c>
      <x:c r="D31" s="176" t="str">
        <x:v>Department Software</x:v>
      </x:c>
      <x:c r="E31" s="176" t="str">
        <x:v>SigmaNEST, OMAX Intelli-MAX, and machine controller software</x:v>
      </x:c>
      <x:c r="F31" s="176" t="str">
        <x:v>Notional Current</x:v>
      </x:c>
      <x:c r="G31" s="176" t="str">
        <x:v>Laser/Waterjet Lead</x:v>
      </x:c>
      <x:c r="H31" s="176" t="str">
        <x:v>Cut programs and nesting outputs support material usage and job completion</x:v>
      </x:c>
      <x:c r="I31" s="176" t="str">
        <x:v>DXF, nest, cut file, machine program, material utilization</x:v>
      </x:c>
      <x:c r="J31" s="176" t="str">
        <x:v>department_software</x:v>
      </x:c>
      <x:c r="K31" s="24" t="str">
        <x:v>Representative cutting software examples.</x:v>
      </x:c>
    </x:row>
    <x:row r="32">
      <x:c r="A32" s="23" t="str">
        <x:v>laser_waterjet</x:v>
      </x:c>
      <x:c r="B32" s="176" t="str">
        <x:v>H</x:v>
      </x:c>
      <x:c r="C32" s="176" t="str">
        <x:v>Laser &amp; Waterjet</x:v>
      </x:c>
      <x:c r="D32" s="176" t="str">
        <x:v>Spreadsheet/Tracker</x:v>
      </x:c>
      <x:c r="E32" s="176" t="str">
        <x:v>Cut Schedule and Remnant Tracker</x:v>
      </x:c>
      <x:c r="F32" s="176" t="str">
        <x:v>Notional Current</x:v>
      </x:c>
      <x:c r="G32" s="176" t="str">
        <x:v>Laser/Waterjet Lead</x:v>
      </x:c>
      <x:c r="H32" s="176" t="str">
        <x:v>Shows priority sequence, material availability, and remnant availability</x:v>
      </x:c>
      <x:c r="I32" s="176" t="str">
        <x:v>Machine queue, sheet/plate, remnant, priority, cut completion</x:v>
      </x:c>
      <x:c r="J32" s="176" t="str">
        <x:v>spreadsheet_tracker</x:v>
      </x:c>
      <x:c r="K32" s="24" t="str">
        <x:v>Useful for showing how shop data could drive React filters.</x:v>
      </x:c>
    </x:row>
    <x:row r="33">
      <x:c r="A33" s="23" t="str">
        <x:v>laser_waterjet</x:v>
      </x:c>
      <x:c r="B33" s="176" t="str">
        <x:v>H</x:v>
      </x:c>
      <x:c r="C33" s="176" t="str">
        <x:v>Laser &amp; Waterjet</x:v>
      </x:c>
      <x:c r="D33" s="176" t="str">
        <x:v>AI/Automation</x:v>
      </x:c>
      <x:c r="E33" s="176" t="str">
        <x:v>AI nesting/material utilization advisor</x:v>
      </x:c>
      <x:c r="F33" s="176" t="str">
        <x:v>Notional Proposed</x:v>
      </x:c>
      <x:c r="G33" s="176" t="str">
        <x:v>Fabrication / Engineering</x:v>
      </x:c>
      <x:c r="H33" s="176" t="str">
        <x:v>Recommends nest grouping and flags material-utilization opportunities</x:v>
      </x:c>
      <x:c r="I33" s="176" t="str">
        <x:v>Part geometry, material, thickness, due date, scrap percentage</x:v>
      </x:c>
      <x:c r="J33" s="176" t="str">
        <x:v>ai_automation</x:v>
      </x:c>
      <x:c r="K33" s="24" t="str">
        <x:v>Notional automation aimed at material savings and schedule flow.</x:v>
      </x:c>
    </x:row>
    <x:row r="34">
      <x:c r="A34" s="23" t="str">
        <x:v>bending</x:v>
      </x:c>
      <x:c r="B34" s="176" t="str">
        <x:v>I</x:v>
      </x:c>
      <x:c r="C34" s="176" t="str">
        <x:v>Bending</x:v>
      </x:c>
      <x:c r="D34" s="176" t="str">
        <x:v>ERP/MRP System</x:v>
      </x:c>
      <x:c r="E34" s="176" t="str">
        <x:v>JobBoss2 bending operation status</x:v>
      </x:c>
      <x:c r="F34" s="176" t="str">
        <x:v>Notional Current</x:v>
      </x:c>
      <x:c r="G34" s="176" t="str">
        <x:v>Fabrication Supervisor</x:v>
      </x:c>
      <x:c r="H34" s="176" t="str">
        <x:v>Operation dispatch and completion update downstream readiness</x:v>
      </x:c>
      <x:c r="I34" s="176" t="str">
        <x:v>Operation, traveler, labor, completion, rework status</x:v>
      </x:c>
      <x:c r="J34" s="176" t="str">
        <x:v>erp_mrp_system</x:v>
      </x:c>
      <x:c r="K34" s="24" t="str">
        <x:v>Keeps flowchart handoff status tied to ERP operations.</x:v>
      </x:c>
    </x:row>
    <x:row r="35">
      <x:c r="A35" s="23" t="str">
        <x:v>bending</x:v>
      </x:c>
      <x:c r="B35" s="176" t="str">
        <x:v>I</x:v>
      </x:c>
      <x:c r="C35" s="176" t="str">
        <x:v>Bending</x:v>
      </x:c>
      <x:c r="D35" s="176" t="str">
        <x:v>Department Software</x:v>
      </x:c>
      <x:c r="E35" s="176" t="str">
        <x:v>Press brake offline programming and tooling database</x:v>
      </x:c>
      <x:c r="F35" s="176" t="str">
        <x:v>Notional Current</x:v>
      </x:c>
      <x:c r="G35" s="176" t="str">
        <x:v>Bending Lead</x:v>
      </x:c>
      <x:c r="H35" s="176" t="str">
        <x:v>Bend programs and tooling setup instructions support first-piece approval</x:v>
      </x:c>
      <x:c r="I35" s="176" t="str">
        <x:v>Bend program, tool list, setup sheet, bend sequence, angle data</x:v>
      </x:c>
      <x:c r="J35" s="176" t="str">
        <x:v>department_software</x:v>
      </x:c>
      <x:c r="K35" s="24" t="str">
        <x:v>Replace with actual brake software after validation.</x:v>
      </x:c>
    </x:row>
    <x:row r="36">
      <x:c r="A36" s="23" t="str">
        <x:v>bending</x:v>
      </x:c>
      <x:c r="B36" s="176" t="str">
        <x:v>I</x:v>
      </x:c>
      <x:c r="C36" s="176" t="str">
        <x:v>Bending</x:v>
      </x:c>
      <x:c r="D36" s="176" t="str">
        <x:v>Spreadsheet/Tracker</x:v>
      </x:c>
      <x:c r="E36" s="176" t="str">
        <x:v>Bend Setup and Tooling Notes Tracker</x:v>
      </x:c>
      <x:c r="F36" s="176" t="str">
        <x:v>Notional Current</x:v>
      </x:c>
      <x:c r="G36" s="176" t="str">
        <x:v>Bending Lead</x:v>
      </x:c>
      <x:c r="H36" s="176" t="str">
        <x:v>Captures lessons learned for repeat jobs and difficult setups</x:v>
      </x:c>
      <x:c r="I36" s="176" t="str">
        <x:v>Tooling, setup note, first-piece result, correction factor</x:v>
      </x:c>
      <x:c r="J36" s="176" t="str">
        <x:v>spreadsheet_tracker</x:v>
      </x:c>
      <x:c r="K36" s="24" t="str">
        <x:v>Demonstrates repeat-job knowledge capture.</x:v>
      </x:c>
    </x:row>
    <x:row r="37">
      <x:c r="A37" s="23" t="str">
        <x:v>bending</x:v>
      </x:c>
      <x:c r="B37" s="176" t="str">
        <x:v>I</x:v>
      </x:c>
      <x:c r="C37" s="176" t="str">
        <x:v>Bending</x:v>
      </x:c>
      <x:c r="D37" s="176" t="str">
        <x:v>AI/Automation</x:v>
      </x:c>
      <x:c r="E37" s="176" t="str">
        <x:v>AI bend setup and sequence suggestion</x:v>
      </x:c>
      <x:c r="F37" s="176" t="str">
        <x:v>Notional Proposed</x:v>
      </x:c>
      <x:c r="G37" s="176" t="str">
        <x:v>Fabrication / Engineering</x:v>
      </x:c>
      <x:c r="H37" s="176" t="str">
        <x:v>Suggests tooling/sequence from drawing features and prior setups</x:v>
      </x:c>
      <x:c r="I37" s="176" t="str">
        <x:v>Material, thickness, bend angles, tooling, prior setup notes</x:v>
      </x:c>
      <x:c r="J37" s="176" t="str">
        <x:v>ai_automation</x:v>
      </x:c>
      <x:c r="K37" s="24" t="str">
        <x:v>Sample AI support for skill enhancement and setup reduction.</x:v>
      </x:c>
    </x:row>
    <x:row r="38">
      <x:c r="A38" s="23" t="str">
        <x:v>machining</x:v>
      </x:c>
      <x:c r="B38" s="176" t="str">
        <x:v>J</x:v>
      </x:c>
      <x:c r="C38" s="176" t="str">
        <x:v>Machining</x:v>
      </x:c>
      <x:c r="D38" s="176" t="str">
        <x:v>ERP/MRP System</x:v>
      </x:c>
      <x:c r="E38" s="176" t="str">
        <x:v>JobBoss2 machining operation status</x:v>
      </x:c>
      <x:c r="F38" s="176" t="str">
        <x:v>Notional Current</x:v>
      </x:c>
      <x:c r="G38" s="176" t="str">
        <x:v>Machine Shop Supervisor</x:v>
      </x:c>
      <x:c r="H38" s="176" t="str">
        <x:v>Machining dispatch, labor, and completion status feed project schedule</x:v>
      </x:c>
      <x:c r="I38" s="176" t="str">
        <x:v>Operation, labor, setup, cycle time, completion, NCR status</x:v>
      </x:c>
      <x:c r="J38" s="176" t="str">
        <x:v>erp_mrp_system</x:v>
      </x:c>
      <x:c r="K38" s="24" t="str">
        <x:v>Core job tracking for machining.</x:v>
      </x:c>
    </x:row>
    <x:row r="39">
      <x:c r="A39" s="23" t="str">
        <x:v>machining</x:v>
      </x:c>
      <x:c r="B39" s="176" t="str">
        <x:v>J</x:v>
      </x:c>
      <x:c r="C39" s="176" t="str">
        <x:v>Machining</x:v>
      </x:c>
      <x:c r="D39" s="176" t="str">
        <x:v>Department Software</x:v>
      </x:c>
      <x:c r="E39" s="176" t="str">
        <x:v>Mastercam, Fusion 360, and CNC controller software</x:v>
      </x:c>
      <x:c r="F39" s="176" t="str">
        <x:v>Notional Current</x:v>
      </x:c>
      <x:c r="G39" s="176" t="str">
        <x:v>Programming / Machining Lead</x:v>
      </x:c>
      <x:c r="H39" s="176" t="str">
        <x:v>Programs and setup sheets support machining operation release</x:v>
      </x:c>
      <x:c r="I39" s="176" t="str">
        <x:v>CAM file, NC program, setup sheet, tool list, inspection features</x:v>
      </x:c>
      <x:c r="J39" s="176" t="str">
        <x:v>department_software</x:v>
      </x:c>
      <x:c r="K39" s="24" t="str">
        <x:v>Representative CAM/CNC stack for the demo.</x:v>
      </x:c>
    </x:row>
    <x:row r="40">
      <x:c r="A40" s="23" t="str">
        <x:v>machining</x:v>
      </x:c>
      <x:c r="B40" s="176" t="str">
        <x:v>J</x:v>
      </x:c>
      <x:c r="C40" s="176" t="str">
        <x:v>Machining</x:v>
      </x:c>
      <x:c r="D40" s="176" t="str">
        <x:v>Spreadsheet/Tracker</x:v>
      </x:c>
      <x:c r="E40" s="176" t="str">
        <x:v>Tooling and Cycle-Time Tracker</x:v>
      </x:c>
      <x:c r="F40" s="176" t="str">
        <x:v>Notional Current</x:v>
      </x:c>
      <x:c r="G40" s="176" t="str">
        <x:v>Machining Lead</x:v>
      </x:c>
      <x:c r="H40" s="176" t="str">
        <x:v>Captures actual versus estimated cycle time and tooling lessons</x:v>
      </x:c>
      <x:c r="I40" s="176" t="str">
        <x:v>Tool, setup time, cycle time, operation notes, improvement ideas</x:v>
      </x:c>
      <x:c r="J40" s="176" t="str">
        <x:v>spreadsheet_tracker</x:v>
      </x:c>
      <x:c r="K40" s="24" t="str">
        <x:v>Notional tracker that can support estimate refinement.</x:v>
      </x:c>
    </x:row>
    <x:row r="41">
      <x:c r="A41" s="23" t="str">
        <x:v>machining</x:v>
      </x:c>
      <x:c r="B41" s="176" t="str">
        <x:v>J</x:v>
      </x:c>
      <x:c r="C41" s="176" t="str">
        <x:v>Machining</x:v>
      </x:c>
      <x:c r="D41" s="176" t="str">
        <x:v>AI/Automation</x:v>
      </x:c>
      <x:c r="E41" s="176" t="str">
        <x:v>AI CNC feature recognition and cycle estimate</x:v>
      </x:c>
      <x:c r="F41" s="176" t="str">
        <x:v>Notional Proposed</x:v>
      </x:c>
      <x:c r="G41" s="176" t="str">
        <x:v>Machining / Estimating</x:v>
      </x:c>
      <x:c r="H41" s="176" t="str">
        <x:v>Reviews drawings/models and proposes rough setup/cycle assumptions</x:v>
      </x:c>
      <x:c r="I41" s="176" t="str">
        <x:v>Features, tolerances, material, machine class, setup/cycle estimate</x:v>
      </x:c>
      <x:c r="J41" s="176" t="str">
        <x:v>ai_automation</x:v>
      </x:c>
      <x:c r="K41" s="24" t="str">
        <x:v>Illustrative AI support for quoting and programming consistency.</x:v>
      </x:c>
    </x:row>
    <x:row r="42">
      <x:c r="A42" s="23" t="str">
        <x:v>welding</x:v>
      </x:c>
      <x:c r="B42" s="176" t="str">
        <x:v>K</x:v>
      </x:c>
      <x:c r="C42" s="176" t="str">
        <x:v>Welding</x:v>
      </x:c>
      <x:c r="D42" s="176" t="str">
        <x:v>ERP/MRP System</x:v>
      </x:c>
      <x:c r="E42" s="176" t="str">
        <x:v>JobBoss2 welding operation status</x:v>
      </x:c>
      <x:c r="F42" s="176" t="str">
        <x:v>Notional Current</x:v>
      </x:c>
      <x:c r="G42" s="176" t="str">
        <x:v>Welding Supervisor</x:v>
      </x:c>
      <x:c r="H42" s="176" t="str">
        <x:v>Weld operation completion and rework status update downstream flow</x:v>
      </x:c>
      <x:c r="I42" s="176" t="str">
        <x:v>Operation, labor, assembly, completion, rework, NCR</x:v>
      </x:c>
      <x:c r="J42" s="176" t="str">
        <x:v>erp_mrp_system</x:v>
      </x:c>
      <x:c r="K42" s="24" t="str">
        <x:v>Maintains schedule visibility through welding.</x:v>
      </x:c>
    </x:row>
    <x:row r="43">
      <x:c r="A43" s="23" t="str">
        <x:v>welding</x:v>
      </x:c>
      <x:c r="B43" s="176" t="str">
        <x:v>K</x:v>
      </x:c>
      <x:c r="C43" s="176" t="str">
        <x:v>Welding</x:v>
      </x:c>
      <x:c r="D43" s="176" t="str">
        <x:v>Department Software</x:v>
      </x:c>
      <x:c r="E43" s="176" t="str">
        <x:v>WeldEye/WPS library and fixture photo database</x:v>
      </x:c>
      <x:c r="F43" s="176" t="str">
        <x:v>Notional Current</x:v>
      </x:c>
      <x:c r="G43" s="176" t="str">
        <x:v>Welding Supervisor / Quality</x:v>
      </x:c>
      <x:c r="H43" s="176" t="str">
        <x:v>WPS and qualification data link to job requirements</x:v>
      </x:c>
      <x:c r="I43" s="176" t="str">
        <x:v>WPS, WPQ, fixture photo, weld map, inspection note</x:v>
      </x:c>
      <x:c r="J43" s="176" t="str">
        <x:v>department_software</x:v>
      </x:c>
      <x:c r="K43" s="24" t="str">
        <x:v>Notional welding compliance/documentation stack.</x:v>
      </x:c>
    </x:row>
    <x:row r="44">
      <x:c r="A44" s="23" t="str">
        <x:v>welding</x:v>
      </x:c>
      <x:c r="B44" s="176" t="str">
        <x:v>K</x:v>
      </x:c>
      <x:c r="C44" s="176" t="str">
        <x:v>Welding</x:v>
      </x:c>
      <x:c r="D44" s="176" t="str">
        <x:v>Spreadsheet/Tracker</x:v>
      </x:c>
      <x:c r="E44" s="176" t="str">
        <x:v>Welder Qualification and Fixture Tracker</x:v>
      </x:c>
      <x:c r="F44" s="176" t="str">
        <x:v>Notional Current</x:v>
      </x:c>
      <x:c r="G44" s="176" t="str">
        <x:v>Welding / Quality</x:v>
      </x:c>
      <x:c r="H44" s="176" t="str">
        <x:v>Supports assignment decisions and compliance review</x:v>
      </x:c>
      <x:c r="I44" s="176" t="str">
        <x:v>Qualification, process, expiration, fixture, job applicability</x:v>
      </x:c>
      <x:c r="J44" s="176" t="str">
        <x:v>spreadsheet_tracker</x:v>
      </x:c>
      <x:c r="K44" s="24" t="str">
        <x:v>Shows how skill/certification information can connect to the flow.</x:v>
      </x:c>
    </x:row>
    <x:row r="45">
      <x:c r="A45" s="23" t="str">
        <x:v>welding</x:v>
      </x:c>
      <x:c r="B45" s="176" t="str">
        <x:v>K</x:v>
      </x:c>
      <x:c r="C45" s="176" t="str">
        <x:v>Welding</x:v>
      </x:c>
      <x:c r="D45" s="176" t="str">
        <x:v>AI/Automation</x:v>
      </x:c>
      <x:c r="E45" s="176" t="str">
        <x:v>AI weld documentation and visual-inspection prompt</x:v>
      </x:c>
      <x:c r="F45" s="176" t="str">
        <x:v>Notional Proposed</x:v>
      </x:c>
      <x:c r="G45" s="176" t="str">
        <x:v>Welding / Quality</x:v>
      </x:c>
      <x:c r="H45" s="176" t="str">
        <x:v>Assists with weld requirement checks and prompts inspection documentation</x:v>
      </x:c>
      <x:c r="I45" s="176" t="str">
        <x:v>WPS requirement, weld photo, inspection checklist, defect flag</x:v>
      </x:c>
      <x:c r="J45" s="176" t="str">
        <x:v>ai_automation</x:v>
      </x:c>
      <x:c r="K45" s="24" t="str">
        <x:v>Example AI use case for quality assurance and records completeness.</x:v>
      </x:c>
    </x:row>
    <x:row r="46">
      <x:c r="A46" s="23" t="str">
        <x:v>grinding_finishing</x:v>
      </x:c>
      <x:c r="B46" s="176" t="str">
        <x:v>L</x:v>
      </x:c>
      <x:c r="C46" s="176" t="str">
        <x:v>Grinding &amp; Finishing</x:v>
      </x:c>
      <x:c r="D46" s="176" t="str">
        <x:v>ERP/MRP System</x:v>
      </x:c>
      <x:c r="E46" s="176" t="str">
        <x:v>JobBoss2 finishing operation status</x:v>
      </x:c>
      <x:c r="F46" s="176" t="str">
        <x:v>Notional Current</x:v>
      </x:c>
      <x:c r="G46" s="176" t="str">
        <x:v>Finishing Supervisor</x:v>
      </x:c>
      <x:c r="H46" s="176" t="str">
        <x:v>Completion status confirms readiness for coating/marking/assembly</x:v>
      </x:c>
      <x:c r="I46" s="176" t="str">
        <x:v>Operation, labor, completion, rework, finish requirement</x:v>
      </x:c>
      <x:c r="J46" s="176" t="str">
        <x:v>erp_mrp_system</x:v>
      </x:c>
      <x:c r="K46" s="24" t="str">
        <x:v>Notional ERP status for the convergence step.</x:v>
      </x:c>
    </x:row>
    <x:row r="47">
      <x:c r="A47" s="23" t="str">
        <x:v>grinding_finishing</x:v>
      </x:c>
      <x:c r="B47" s="176" t="str">
        <x:v>L</x:v>
      </x:c>
      <x:c r="C47" s="176" t="str">
        <x:v>Grinding &amp; Finishing</x:v>
      </x:c>
      <x:c r="D47" s="176" t="str">
        <x:v>Department Software</x:v>
      </x:c>
      <x:c r="E47" s="176" t="str">
        <x:v>Digital work instructions and finish photo standard library</x:v>
      </x:c>
      <x:c r="F47" s="176" t="str">
        <x:v>Notional Current</x:v>
      </x:c>
      <x:c r="G47" s="176" t="str">
        <x:v>Finishing Supervisor / Quality</x:v>
      </x:c>
      <x:c r="H47" s="176" t="str">
        <x:v>Photo standards and instructions attach to job/traveler</x:v>
      </x:c>
      <x:c r="I47" s="176" t="str">
        <x:v>Finish standard, accepted sample, defect example, instruction</x:v>
      </x:c>
      <x:c r="J47" s="176" t="str">
        <x:v>department_software</x:v>
      </x:c>
      <x:c r="K47" s="24" t="str">
        <x:v>Useful for consistent cosmetic/functional finish expectations.</x:v>
      </x:c>
    </x:row>
    <x:row r="48">
      <x:c r="A48" s="23" t="str">
        <x:v>grinding_finishing</x:v>
      </x:c>
      <x:c r="B48" s="176" t="str">
        <x:v>L</x:v>
      </x:c>
      <x:c r="C48" s="176" t="str">
        <x:v>Grinding &amp; Finishing</x:v>
      </x:c>
      <x:c r="D48" s="176" t="str">
        <x:v>Spreadsheet/Tracker</x:v>
      </x:c>
      <x:c r="E48" s="176" t="str">
        <x:v>Grinding Rework and Finish Standard Log</x:v>
      </x:c>
      <x:c r="F48" s="176" t="str">
        <x:v>Notional Current</x:v>
      </x:c>
      <x:c r="G48" s="176" t="str">
        <x:v>Finishing Lead</x:v>
      </x:c>
      <x:c r="H48" s="176" t="str">
        <x:v>Feeds quality improvement review and repeat-job notes</x:v>
      </x:c>
      <x:c r="I48" s="176" t="str">
        <x:v>Rework reason, finish issue, labor impact, corrective action</x:v>
      </x:c>
      <x:c r="J48" s="176" t="str">
        <x:v>spreadsheet_tracker</x:v>
      </x:c>
      <x:c r="K48" s="24" t="str">
        <x:v>Sample tracker for finding recurring finish bottlenecks.</x:v>
      </x:c>
    </x:row>
    <x:row r="49">
      <x:c r="A49" s="23" t="str">
        <x:v>grinding_finishing</x:v>
      </x:c>
      <x:c r="B49" s="176" t="str">
        <x:v>L</x:v>
      </x:c>
      <x:c r="C49" s="176" t="str">
        <x:v>Grinding &amp; Finishing</x:v>
      </x:c>
      <x:c r="D49" s="176" t="str">
        <x:v>AI/Automation</x:v>
      </x:c>
      <x:c r="E49" s="176" t="str">
        <x:v>AI finish defect classification and rework notes</x:v>
      </x:c>
      <x:c r="F49" s="176" t="str">
        <x:v>Notional Proposed</x:v>
      </x:c>
      <x:c r="G49" s="176" t="str">
        <x:v>Finishing / Quality</x:v>
      </x:c>
      <x:c r="H49" s="176" t="str">
        <x:v>Assists operators with identifying defect categories from photos and notes</x:v>
      </x:c>
      <x:c r="I49" s="176" t="str">
        <x:v>Finish photo, defect type, rework step, standard reference</x:v>
      </x:c>
      <x:c r="J49" s="176" t="str">
        <x:v>ai_automation</x:v>
      </x:c>
      <x:c r="K49" s="24" t="str">
        <x:v>Notional AI use case for skill support and quality consistency.</x:v>
      </x:c>
    </x:row>
    <x:row r="50">
      <x:c r="A50" s="23" t="str">
        <x:v>coatings</x:v>
      </x:c>
      <x:c r="B50" s="176" t="str">
        <x:v>M</x:v>
      </x:c>
      <x:c r="C50" s="176" t="str">
        <x:v>Coatings</x:v>
      </x:c>
      <x:c r="D50" s="176" t="str">
        <x:v>ERP/MRP System</x:v>
      </x:c>
      <x:c r="E50" s="176" t="str">
        <x:v>JobBoss2 outside processing and coating operations</x:v>
      </x:c>
      <x:c r="F50" s="176" t="str">
        <x:v>Notional Current</x:v>
      </x:c>
      <x:c r="G50" s="176" t="str">
        <x:v>Purchasing / Project Management</x:v>
      </x:c>
      <x:c r="H50" s="176" t="str">
        <x:v>Outside process PO and operation status update job schedule</x:v>
      </x:c>
      <x:c r="I50" s="176" t="str">
        <x:v>Outside process PO, coating spec, due date, receipt, cert</x:v>
      </x:c>
      <x:c r="J50" s="176" t="str">
        <x:v>erp_mrp_system</x:v>
      </x:c>
      <x:c r="K50" s="24" t="str">
        <x:v>Represents internal/external coating status in the flow.</x:v>
      </x:c>
    </x:row>
    <x:row r="51">
      <x:c r="A51" s="23" t="str">
        <x:v>coatings</x:v>
      </x:c>
      <x:c r="B51" s="176" t="str">
        <x:v>M</x:v>
      </x:c>
      <x:c r="C51" s="176" t="str">
        <x:v>Coatings</x:v>
      </x:c>
      <x:c r="D51" s="176" t="str">
        <x:v>Department Software</x:v>
      </x:c>
      <x:c r="E51" s="176" t="str">
        <x:v>Coating supplier portal and certificate repository</x:v>
      </x:c>
      <x:c r="F51" s="176" t="str">
        <x:v>Notional Current</x:v>
      </x:c>
      <x:c r="G51" s="176" t="str">
        <x:v>Purchasing / Quality</x:v>
      </x:c>
      <x:c r="H51" s="176" t="str">
        <x:v>Supplier certs and shipment status attach to job/order record</x:v>
      </x:c>
      <x:c r="I51" s="176" t="str">
        <x:v>Coating cert, color/spec, supplier status, shipment/receipt</x:v>
      </x:c>
      <x:c r="J51" s="176" t="str">
        <x:v>department_software</x:v>
      </x:c>
      <x:c r="K51" s="24" t="str">
        <x:v>Notional coating documentation stack.</x:v>
      </x:c>
    </x:row>
    <x:row r="52">
      <x:c r="A52" s="23" t="str">
        <x:v>coatings</x:v>
      </x:c>
      <x:c r="B52" s="176" t="str">
        <x:v>M</x:v>
      </x:c>
      <x:c r="C52" s="176" t="str">
        <x:v>Coatings</x:v>
      </x:c>
      <x:c r="D52" s="176" t="str">
        <x:v>Spreadsheet/Tracker</x:v>
      </x:c>
      <x:c r="E52" s="176" t="str">
        <x:v>Outside Process Status Tracker</x:v>
      </x:c>
      <x:c r="F52" s="176" t="str">
        <x:v>Notional Current</x:v>
      </x:c>
      <x:c r="G52" s="176" t="str">
        <x:v>Purchasing / Project Management</x:v>
      </x:c>
      <x:c r="H52" s="176" t="str">
        <x:v>Highlights items offsite, due back, or awaiting cert review</x:v>
      </x:c>
      <x:c r="I52" s="176" t="str">
        <x:v>Job, supplier, sent date, due back, cert status, risk</x:v>
      </x:c>
      <x:c r="J52" s="176" t="str">
        <x:v>spreadsheet_tracker</x:v>
      </x:c>
      <x:c r="K52" s="24" t="str">
        <x:v>Useful demo data for a React bottleneck/status view.</x:v>
      </x:c>
    </x:row>
    <x:row r="53">
      <x:c r="A53" s="23" t="str">
        <x:v>coatings</x:v>
      </x:c>
      <x:c r="B53" s="176" t="str">
        <x:v>M</x:v>
      </x:c>
      <x:c r="C53" s="176" t="str">
        <x:v>Coatings</x:v>
      </x:c>
      <x:c r="D53" s="176" t="str">
        <x:v>AI/Automation</x:v>
      </x:c>
      <x:c r="E53" s="176" t="str">
        <x:v>AI coating cert review and due-back risk alert</x:v>
      </x:c>
      <x:c r="F53" s="176" t="str">
        <x:v>Notional Proposed</x:v>
      </x:c>
      <x:c r="G53" s="176" t="str">
        <x:v>Quality / Purchasing</x:v>
      </x:c>
      <x:c r="H53" s="176" t="str">
        <x:v>Checks returned certs against specification and flags late outside processes</x:v>
      </x:c>
      <x:c r="I53" s="176" t="str">
        <x:v>Spec, cert values, supplier ETA, late risk, discrepancy</x:v>
      </x:c>
      <x:c r="J53" s="176" t="str">
        <x:v>ai_automation</x:v>
      </x:c>
      <x:c r="K53" s="24" t="str">
        <x:v>Illustrative AI support for quality and schedule assurance.</x:v>
      </x:c>
    </x:row>
    <x:row r="54">
      <x:c r="A54" s="23" t="str">
        <x:v>marking</x:v>
      </x:c>
      <x:c r="B54" s="176" t="str">
        <x:v>N</x:v>
      </x:c>
      <x:c r="C54" s="176" t="str">
        <x:v>Marking</x:v>
      </x:c>
      <x:c r="D54" s="176" t="str">
        <x:v>ERP/MRP System</x:v>
      </x:c>
      <x:c r="E54" s="176" t="str">
        <x:v>JobBoss2 marking operation status</x:v>
      </x:c>
      <x:c r="F54" s="176" t="str">
        <x:v>Notional Current</x:v>
      </x:c>
      <x:c r="G54" s="176" t="str">
        <x:v>Finishing / Assembly Supervisor</x:v>
      </x:c>
      <x:c r="H54" s="176" t="str">
        <x:v>Marking completion confirms readiness for assembly/test or final QA</x:v>
      </x:c>
      <x:c r="I54" s="176" t="str">
        <x:v>Operation, traveler, serialization, completion, rework status</x:v>
      </x:c>
      <x:c r="J54" s="176" t="str">
        <x:v>erp_mrp_system</x:v>
      </x:c>
      <x:c r="K54" s="24" t="str">
        <x:v>Maintains flow status for marking requirements.</x:v>
      </x:c>
    </x:row>
    <x:row r="55">
      <x:c r="A55" s="23" t="str">
        <x:v>marking</x:v>
      </x:c>
      <x:c r="B55" s="176" t="str">
        <x:v>N</x:v>
      </x:c>
      <x:c r="C55" s="176" t="str">
        <x:v>Marking</x:v>
      </x:c>
      <x:c r="D55" s="176" t="str">
        <x:v>Department Software</x:v>
      </x:c>
      <x:c r="E55" s="176" t="str">
        <x:v>Bartender label software and laser marking controller</x:v>
      </x:c>
      <x:c r="F55" s="176" t="str">
        <x:v>Notional Current</x:v>
      </x:c>
      <x:c r="G55" s="176" t="str">
        <x:v>Marking Lead / Quality</x:v>
      </x:c>
      <x:c r="H55" s="176" t="str">
        <x:v>Artwork, labels, and serial data are generated from job requirements</x:v>
      </x:c>
      <x:c r="I55" s="176" t="str">
        <x:v>Label template, serial number, artwork, mark file, verification record</x:v>
      </x:c>
      <x:c r="J55" s="176" t="str">
        <x:v>department_software</x:v>
      </x:c>
      <x:c r="K55" s="24" t="str">
        <x:v>Representative marking-specific tools.</x:v>
      </x:c>
    </x:row>
    <x:row r="56">
      <x:c r="A56" s="23" t="str">
        <x:v>marking</x:v>
      </x:c>
      <x:c r="B56" s="176" t="str">
        <x:v>N</x:v>
      </x:c>
      <x:c r="C56" s="176" t="str">
        <x:v>Marking</x:v>
      </x:c>
      <x:c r="D56" s="176" t="str">
        <x:v>Spreadsheet/Tracker</x:v>
      </x:c>
      <x:c r="E56" s="176" t="str">
        <x:v>Serialization and Label Verification Tracker</x:v>
      </x:c>
      <x:c r="F56" s="176" t="str">
        <x:v>Notional Current</x:v>
      </x:c>
      <x:c r="G56" s="176" t="str">
        <x:v>Quality / Marking Lead</x:v>
      </x:c>
      <x:c r="H56" s="176" t="str">
        <x:v>Tracks serial/label verification and customer-specific marking rules</x:v>
      </x:c>
      <x:c r="I56" s="176" t="str">
        <x:v>Serial number, label revision, verification status, exception</x:v>
      </x:c>
      <x:c r="J56" s="176" t="str">
        <x:v>spreadsheet_tracker</x:v>
      </x:c>
      <x:c r="K56" s="24" t="str">
        <x:v>Shows how marking compliance can surface in details.</x:v>
      </x:c>
    </x:row>
    <x:row r="57">
      <x:c r="A57" s="23" t="str">
        <x:v>marking</x:v>
      </x:c>
      <x:c r="B57" s="176" t="str">
        <x:v>N</x:v>
      </x:c>
      <x:c r="C57" s="176" t="str">
        <x:v>Marking</x:v>
      </x:c>
      <x:c r="D57" s="176" t="str">
        <x:v>AI/Automation</x:v>
      </x:c>
      <x:c r="E57" s="176" t="str">
        <x:v>AI marking artwork and requirement verification</x:v>
      </x:c>
      <x:c r="F57" s="176" t="str">
        <x:v>Notional Proposed</x:v>
      </x:c>
      <x:c r="G57" s="176" t="str">
        <x:v>Quality / Marking</x:v>
      </x:c>
      <x:c r="H57" s="176" t="str">
        <x:v>Compares drawing notes, customer spec, label content, and artwork before release</x:v>
      </x:c>
      <x:c r="I57" s="176" t="str">
        <x:v>Drawing note, label text, artwork, placement, serial format</x:v>
      </x:c>
      <x:c r="J57" s="176" t="str">
        <x:v>ai_automation</x:v>
      </x:c>
      <x:c r="K57" s="24" t="str">
        <x:v>Example AI use case for reducing marking errors.</x:v>
      </x:c>
    </x:row>
    <x:row r="58">
      <x:c r="A58" s="23" t="str">
        <x:v>assembly</x:v>
      </x:c>
      <x:c r="B58" s="176" t="str">
        <x:v>O</x:v>
      </x:c>
      <x:c r="C58" s="176" t="str">
        <x:v>Assembly</x:v>
      </x:c>
      <x:c r="D58" s="176" t="str">
        <x:v>ERP/MRP System</x:v>
      </x:c>
      <x:c r="E58" s="176" t="str">
        <x:v>JobBoss2 assembly operation and kitting status</x:v>
      </x:c>
      <x:c r="F58" s="176" t="str">
        <x:v>Notional Current</x:v>
      </x:c>
      <x:c r="G58" s="176" t="str">
        <x:v>Assembly Supervisor</x:v>
      </x:c>
      <x:c r="H58" s="176" t="str">
        <x:v>Assembly operations and component availability update completion forecast</x:v>
      </x:c>
      <x:c r="I58" s="176" t="str">
        <x:v>Assembly operation, kit status, labor, shortage, completion</x:v>
      </x:c>
      <x:c r="J58" s="176" t="str">
        <x:v>erp_mrp_system</x:v>
      </x:c>
      <x:c r="K58" s="24" t="str">
        <x:v>Central assembly status for flowchart rendering.</x:v>
      </x:c>
    </x:row>
    <x:row r="59">
      <x:c r="A59" s="23" t="str">
        <x:v>assembly</x:v>
      </x:c>
      <x:c r="B59" s="176" t="str">
        <x:v>O</x:v>
      </x:c>
      <x:c r="C59" s="176" t="str">
        <x:v>Assembly</x:v>
      </x:c>
      <x:c r="D59" s="176" t="str">
        <x:v>Department Software</x:v>
      </x:c>
      <x:c r="E59" s="176" t="str">
        <x:v>Digital work instructions and kitting app</x:v>
      </x:c>
      <x:c r="F59" s="176" t="str">
        <x:v>Notional Current</x:v>
      </x:c>
      <x:c r="G59" s="176" t="str">
        <x:v>Assembly Supervisor / Engineering</x:v>
      </x:c>
      <x:c r="H59" s="176" t="str">
        <x:v>Guided instructions and kit verification attach to job/order</x:v>
      </x:c>
      <x:c r="I59" s="176" t="str">
        <x:v>Kit list, work step, photo instruction, torque/spec check, shortage</x:v>
      </x:c>
      <x:c r="J59" s="176" t="str">
        <x:v>department_software</x:v>
      </x:c>
      <x:c r="K59" s="24" t="str">
        <x:v>Uses the kitting-app idea as a current notional capability.</x:v>
      </x:c>
    </x:row>
    <x:row r="60">
      <x:c r="A60" s="23" t="str">
        <x:v>assembly</x:v>
      </x:c>
      <x:c r="B60" s="176" t="str">
        <x:v>O</x:v>
      </x:c>
      <x:c r="C60" s="176" t="str">
        <x:v>Assembly</x:v>
      </x:c>
      <x:c r="D60" s="176" t="str">
        <x:v>Spreadsheet/Tracker</x:v>
      </x:c>
      <x:c r="E60" s="176" t="str">
        <x:v>Assembly Shortage and Build Issue Tracker</x:v>
      </x:c>
      <x:c r="F60" s="176" t="str">
        <x:v>Notional Current</x:v>
      </x:c>
      <x:c r="G60" s="176" t="str">
        <x:v>Assembly / Project Management</x:v>
      </x:c>
      <x:c r="H60" s="176" t="str">
        <x:v>Shortages and build issues feed PM risk review and purchasing expedites</x:v>
      </x:c>
      <x:c r="I60" s="176" t="str">
        <x:v>Shortage, build issue, owner, due date, resolution</x:v>
      </x:c>
      <x:c r="J60" s="176" t="str">
        <x:v>spreadsheet_tracker</x:v>
      </x:c>
      <x:c r="K60" s="24" t="str">
        <x:v>Excellent source for React detail panel issue lists.</x:v>
      </x:c>
    </x:row>
    <x:row r="61">
      <x:c r="A61" s="23" t="str">
        <x:v>assembly</x:v>
      </x:c>
      <x:c r="B61" s="176" t="str">
        <x:v>O</x:v>
      </x:c>
      <x:c r="C61" s="176" t="str">
        <x:v>Assembly</x:v>
      </x:c>
      <x:c r="D61" s="176" t="str">
        <x:v>AI/Automation</x:v>
      </x:c>
      <x:c r="E61" s="176" t="str">
        <x:v>AI guided assembly and shortage predictor</x:v>
      </x:c>
      <x:c r="F61" s="176" t="str">
        <x:v>Notional Proposed</x:v>
      </x:c>
      <x:c r="G61" s="176" t="str">
        <x:v>Assembly / IT</x:v>
      </x:c>
      <x:c r="H61" s="176" t="str">
        <x:v>Prompts work instructions, compares kit status, and predicts assembly blockers</x:v>
      </x:c>
      <x:c r="I61" s="176" t="str">
        <x:v>BOM, kit scan, work step, historical shortage, blocker prediction</x:v>
      </x:c>
      <x:c r="J61" s="176" t="str">
        <x:v>ai_automation</x:v>
      </x:c>
      <x:c r="K61" s="24" t="str">
        <x:v>Sample AI use case for operator support and time savings.</x:v>
      </x:c>
    </x:row>
    <x:row r="62">
      <x:c r="A62" s="23" t="str">
        <x:v>testing</x:v>
      </x:c>
      <x:c r="B62" s="176" t="str">
        <x:v>P</x:v>
      </x:c>
      <x:c r="C62" s="176" t="str">
        <x:v>Testing</x:v>
      </x:c>
      <x:c r="D62" s="176" t="str">
        <x:v>ERP/MRP System</x:v>
      </x:c>
      <x:c r="E62" s="176" t="str">
        <x:v>JobBoss2 test operation completion</x:v>
      </x:c>
      <x:c r="F62" s="176" t="str">
        <x:v>Notional Current</x:v>
      </x:c>
      <x:c r="G62" s="176" t="str">
        <x:v>Test Lead / Quality</x:v>
      </x:c>
      <x:c r="H62" s="176" t="str">
        <x:v>Test operation status updates final QA readiness</x:v>
      </x:c>
      <x:c r="I62" s="176" t="str">
        <x:v>Test operation, labor, pass/fail status, rework, completion</x:v>
      </x:c>
      <x:c r="J62" s="176" t="str">
        <x:v>erp_mrp_system</x:v>
      </x:c>
      <x:c r="K62" s="24" t="str">
        <x:v>Keeps testing tied to job completion status.</x:v>
      </x:c>
    </x:row>
    <x:row r="63">
      <x:c r="A63" s="23" t="str">
        <x:v>testing</x:v>
      </x:c>
      <x:c r="B63" s="176" t="str">
        <x:v>P</x:v>
      </x:c>
      <x:c r="C63" s="176" t="str">
        <x:v>Testing</x:v>
      </x:c>
      <x:c r="D63" s="176" t="str">
        <x:v>Department Software</x:v>
      </x:c>
      <x:c r="E63" s="176" t="str">
        <x:v>LabVIEW/test bench software and calibration database</x:v>
      </x:c>
      <x:c r="F63" s="176" t="str">
        <x:v>Notional Current</x:v>
      </x:c>
      <x:c r="G63" s="176" t="str">
        <x:v>Test Lead / Quality</x:v>
      </x:c>
      <x:c r="H63" s="176" t="str">
        <x:v>Test measurements and calibration status attach to the job record</x:v>
      </x:c>
      <x:c r="I63" s="176" t="str">
        <x:v>Test result, measurement, procedure, equipment, calibration record</x:v>
      </x:c>
      <x:c r="J63" s="176" t="str">
        <x:v>department_software</x:v>
      </x:c>
      <x:c r="K63" s="24" t="str">
        <x:v>Representative testing-specific software.</x:v>
      </x:c>
    </x:row>
    <x:row r="64">
      <x:c r="A64" s="23" t="str">
        <x:v>testing</x:v>
      </x:c>
      <x:c r="B64" s="176" t="str">
        <x:v>P</x:v>
      </x:c>
      <x:c r="C64" s="176" t="str">
        <x:v>Testing</x:v>
      </x:c>
      <x:c r="D64" s="176" t="str">
        <x:v>Spreadsheet/Tracker</x:v>
      </x:c>
      <x:c r="E64" s="176" t="str">
        <x:v>Test Results and Failure Log</x:v>
      </x:c>
      <x:c r="F64" s="176" t="str">
        <x:v>Notional Current</x:v>
      </x:c>
      <x:c r="G64" s="176" t="str">
        <x:v>Test Lead</x:v>
      </x:c>
      <x:c r="H64" s="176" t="str">
        <x:v>Feeds quality review, rework, and recurring failure analysis</x:v>
      </x:c>
      <x:c r="I64" s="176" t="str">
        <x:v>Result, failure mode, retest date, disposition, corrective action</x:v>
      </x:c>
      <x:c r="J64" s="176" t="str">
        <x:v>spreadsheet_tracker</x:v>
      </x:c>
      <x:c r="K64" s="24" t="str">
        <x:v>Good demo source for quality trend information.</x:v>
      </x:c>
    </x:row>
    <x:row r="65">
      <x:c r="A65" s="23" t="str">
        <x:v>testing</x:v>
      </x:c>
      <x:c r="B65" s="176" t="str">
        <x:v>P</x:v>
      </x:c>
      <x:c r="C65" s="176" t="str">
        <x:v>Testing</x:v>
      </x:c>
      <x:c r="D65" s="176" t="str">
        <x:v>AI/Automation</x:v>
      </x:c>
      <x:c r="E65" s="176" t="str">
        <x:v>AI test-result anomaly and report generator</x:v>
      </x:c>
      <x:c r="F65" s="176" t="str">
        <x:v>Notional Proposed</x:v>
      </x:c>
      <x:c r="G65" s="176" t="str">
        <x:v>Test / Quality</x:v>
      </x:c>
      <x:c r="H65" s="176" t="str">
        <x:v>Reviews measurements, flags outliers, and drafts test reports for approval</x:v>
      </x:c>
      <x:c r="I65" s="176" t="str">
        <x:v>Measurement, limit, outlier, pass/fail, report narrative</x:v>
      </x:c>
      <x:c r="J65" s="176" t="str">
        <x:v>ai_automation</x:v>
      </x:c>
      <x:c r="K65" s="24" t="str">
        <x:v>Notional AI use case for faster documentation and earlier issue detection.</x:v>
      </x:c>
    </x:row>
    <x:row r="66">
      <x:c r="A66" s="23" t="str">
        <x:v>final_quality_assurance</x:v>
      </x:c>
      <x:c r="B66" s="176" t="str">
        <x:v>Q</x:v>
      </x:c>
      <x:c r="C66" s="176" t="str">
        <x:v>Final Quality Assurance</x:v>
      </x:c>
      <x:c r="D66" s="176" t="str">
        <x:v>ERP/MRP System</x:v>
      </x:c>
      <x:c r="E66" s="176" t="str">
        <x:v>JobBoss2 quality status and final release</x:v>
      </x:c>
      <x:c r="F66" s="176" t="str">
        <x:v>Notional Current</x:v>
      </x:c>
      <x:c r="G66" s="176" t="str">
        <x:v>Quality Manager</x:v>
      </x:c>
      <x:c r="H66" s="176" t="str">
        <x:v>Final inspection and release status control shipping readiness</x:v>
      </x:c>
      <x:c r="I66" s="176" t="str">
        <x:v>Inspection operation, NCR, cert package, release status, shipment hold</x:v>
      </x:c>
      <x:c r="J66" s="176" t="str">
        <x:v>erp_mrp_system</x:v>
      </x:c>
      <x:c r="K66" s="24" t="str">
        <x:v>Represents ERP quality gate before shipment.</x:v>
      </x:c>
    </x:row>
    <x:row r="67">
      <x:c r="A67" s="23" t="str">
        <x:v>final_quality_assurance</x:v>
      </x:c>
      <x:c r="B67" s="176" t="str">
        <x:v>Q</x:v>
      </x:c>
      <x:c r="C67" s="176" t="str">
        <x:v>Final Quality Assurance</x:v>
      </x:c>
      <x:c r="D67" s="176" t="str">
        <x:v>Department Software</x:v>
      </x:c>
      <x:c r="E67" s="176" t="str">
        <x:v>UniPoint QMS and document control</x:v>
      </x:c>
      <x:c r="F67" s="176" t="str">
        <x:v>Notional Current</x:v>
      </x:c>
      <x:c r="G67" s="176" t="str">
        <x:v>Quality Manager</x:v>
      </x:c>
      <x:c r="H67" s="176" t="str">
        <x:v>NCRs, corrective actions, and document packages connect to job/order records</x:v>
      </x:c>
      <x:c r="I67" s="176" t="str">
        <x:v>Inspection plan, NCR, CAR, cert, calibration, release approval</x:v>
      </x:c>
      <x:c r="J67" s="176" t="str">
        <x:v>department_software</x:v>
      </x:c>
      <x:c r="K67" s="24" t="str">
        <x:v>Uses QMS as the notional quality system for the demo.</x:v>
      </x:c>
    </x:row>
    <x:row r="68">
      <x:c r="A68" s="23" t="str">
        <x:v>final_quality_assurance</x:v>
      </x:c>
      <x:c r="B68" s="176" t="str">
        <x:v>Q</x:v>
      </x:c>
      <x:c r="C68" s="176" t="str">
        <x:v>Final Quality Assurance</x:v>
      </x:c>
      <x:c r="D68" s="176" t="str">
        <x:v>Spreadsheet/Tracker</x:v>
      </x:c>
      <x:c r="E68" s="176" t="str">
        <x:v>Final Inspection and Cert Package Checklist</x:v>
      </x:c>
      <x:c r="F68" s="176" t="str">
        <x:v>Notional Current</x:v>
      </x:c>
      <x:c r="G68" s="176" t="str">
        <x:v>Quality Inspector</x:v>
      </x:c>
      <x:c r="H68" s="176" t="str">
        <x:v>Tracks documentation completeness before shipping release</x:v>
      </x:c>
      <x:c r="I68" s="176" t="str">
        <x:v>Cert, inspection result, traveler signoff, missing document, release note</x:v>
      </x:c>
      <x:c r="J68" s="176" t="str">
        <x:v>spreadsheet_tracker</x:v>
      </x:c>
      <x:c r="K68" s="24" t="str">
        <x:v>Makes documentation completeness visible to the React app.</x:v>
      </x:c>
    </x:row>
    <x:row r="69">
      <x:c r="A69" s="23" t="str">
        <x:v>final_quality_assurance</x:v>
      </x:c>
      <x:c r="B69" s="176" t="str">
        <x:v>Q</x:v>
      </x:c>
      <x:c r="C69" s="176" t="str">
        <x:v>Final Quality Assurance</x:v>
      </x:c>
      <x:c r="D69" s="176" t="str">
        <x:v>AI/Automation</x:v>
      </x:c>
      <x:c r="E69" s="176" t="str">
        <x:v>AI cert packet completeness and NCR trend reviewer</x:v>
      </x:c>
      <x:c r="F69" s="176" t="str">
        <x:v>Notional Proposed</x:v>
      </x:c>
      <x:c r="G69" s="176" t="str">
        <x:v>Quality / IT</x:v>
      </x:c>
      <x:c r="H69" s="176" t="str">
        <x:v>Checks final documentation package and summarizes recurring NCR themes</x:v>
      </x:c>
      <x:c r="I69" s="176" t="str">
        <x:v>Cert package, inspection requirement, missing doc, NCR category, trend</x:v>
      </x:c>
      <x:c r="J69" s="176" t="str">
        <x:v>ai_automation</x:v>
      </x:c>
      <x:c r="K69" s="24" t="str">
        <x:v>Illustrative AI support for quality and documentation speed.</x:v>
      </x:c>
    </x:row>
    <x:row r="70">
      <x:c r="A70" s="23" t="str">
        <x:v>shipping_customer_delivery</x:v>
      </x:c>
      <x:c r="B70" s="176" t="str">
        <x:v>R</x:v>
      </x:c>
      <x:c r="C70" s="176" t="str">
        <x:v>Shipping &amp; Customer Delivery</x:v>
      </x:c>
      <x:c r="D70" s="176" t="str">
        <x:v>ERP/MRP System</x:v>
      </x:c>
      <x:c r="E70" s="176" t="str">
        <x:v>JobBoss2 shipping release and invoice trigger</x:v>
      </x:c>
      <x:c r="F70" s="176" t="str">
        <x:v>Notional Current</x:v>
      </x:c>
      <x:c r="G70" s="176" t="str">
        <x:v>Shipping Lead / Finance</x:v>
      </x:c>
      <x:c r="H70" s="176" t="str">
        <x:v>Shipment closes delivery tasks and triggers invoicing workflow</x:v>
      </x:c>
      <x:c r="I70" s="176" t="str">
        <x:v>Shipment, packing list, tracking, release status, invoice trigger</x:v>
      </x:c>
      <x:c r="J70" s="176" t="str">
        <x:v>erp_mrp_system</x:v>
      </x:c>
      <x:c r="K70" s="24" t="str">
        <x:v>Completes the quote-to-cash flow in the demo.</x:v>
      </x:c>
    </x:row>
    <x:row r="71">
      <x:c r="A71" s="23" t="str">
        <x:v>shipping_customer_delivery</x:v>
      </x:c>
      <x:c r="B71" s="176" t="str">
        <x:v>R</x:v>
      </x:c>
      <x:c r="C71" s="176" t="str">
        <x:v>Shipping &amp; Customer Delivery</x:v>
      </x:c>
      <x:c r="D71" s="176" t="str">
        <x:v>Department Software</x:v>
      </x:c>
      <x:c r="E71" s="176" t="str">
        <x:v>UPS WorldShip, FedEx Ship Manager, and carrier portals</x:v>
      </x:c>
      <x:c r="F71" s="176" t="str">
        <x:v>Notional Current</x:v>
      </x:c>
      <x:c r="G71" s="176" t="str">
        <x:v>Shipping Lead</x:v>
      </x:c>
      <x:c r="H71" s="176" t="str">
        <x:v>Carrier tracking and labels attach back to customer shipment record</x:v>
      </x:c>
      <x:c r="I71" s="176" t="str">
        <x:v>Carrier, tracking, label, shipment date, delivery confirmation</x:v>
      </x:c>
      <x:c r="J71" s="176" t="str">
        <x:v>department_software</x:v>
      </x:c>
      <x:c r="K71" s="24" t="str">
        <x:v>Representative shipping software stack.</x:v>
      </x:c>
    </x:row>
    <x:row r="72">
      <x:c r="A72" s="23" t="str">
        <x:v>shipping_customer_delivery</x:v>
      </x:c>
      <x:c r="B72" s="176" t="str">
        <x:v>R</x:v>
      </x:c>
      <x:c r="C72" s="176" t="str">
        <x:v>Shipping &amp; Customer Delivery</x:v>
      </x:c>
      <x:c r="D72" s="176" t="str">
        <x:v>Spreadsheet/Tracker</x:v>
      </x:c>
      <x:c r="E72" s="176" t="str">
        <x:v>Shipping Commitments and Documentation Tracker</x:v>
      </x:c>
      <x:c r="F72" s="176" t="str">
        <x:v>Notional Current</x:v>
      </x:c>
      <x:c r="G72" s="176" t="str">
        <x:v>Shipping / Project Management</x:v>
      </x:c>
      <x:c r="H72" s="176" t="str">
        <x:v>Tracks promised ship dates, document packets, and customer notifications</x:v>
      </x:c>
      <x:c r="I72" s="176" t="str">
        <x:v>Ship date, tracking, document packet, notification, delivery issue</x:v>
      </x:c>
      <x:c r="J72" s="176" t="str">
        <x:v>spreadsheet_tracker</x:v>
      </x:c>
      <x:c r="K72" s="24" t="str">
        <x:v>Useful final-node detail content for React.</x:v>
      </x:c>
    </x:row>
    <x:row r="73">
      <x:c r="A73" s="23" t="str">
        <x:v>shipping_customer_delivery</x:v>
      </x:c>
      <x:c r="B73" s="176" t="str">
        <x:v>R</x:v>
      </x:c>
      <x:c r="C73" s="176" t="str">
        <x:v>Shipping &amp; Customer Delivery</x:v>
      </x:c>
      <x:c r="D73" s="176" t="str">
        <x:v>AI/Automation</x:v>
      </x:c>
      <x:c r="E73" s="176" t="str">
        <x:v>AI shipment document checker and customer notification draft</x:v>
      </x:c>
      <x:c r="F73" s="176" t="str">
        <x:v>Notional Proposed</x:v>
      </x:c>
      <x:c r="G73" s="176" t="str">
        <x:v>Shipping / Customer Service</x:v>
      </x:c>
      <x:c r="H73" s="176" t="str">
        <x:v>Checks shipment packet and drafts customer tracking notifications</x:v>
      </x:c>
      <x:c r="I73" s="176" t="str">
        <x:v>Packing list, cert packet, tracking number, customer contact, notification text</x:v>
      </x:c>
      <x:c r="J73" s="176" t="str">
        <x:v>ai_automation</x:v>
      </x:c>
      <x:c r="K73" s="24" t="str">
        <x:v>Example automation focused on time savings and shipment accuracy.</x:v>
      </x:c>
    </x:row>
  </x:sheetData>
  <x:dataValidations count="1">
    <x:dataValidation type="list" sqref="D2:D73">
      <x:formula1>"ERP/MRP System,Department Software,Spreadsheet/Tracker,AI/Automation"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a4f3fcceeb42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32" hidden="0" customWidth="1"/>
    <x:col min="4" max="4" width="34" hidden="0" customWidth="1"/>
    <x:col min="5" max="5" width="34" hidden="0" customWidth="1"/>
    <x:col min="6" max="6" width="24" hidden="0" customWidth="1"/>
    <x:col min="7" max="7" width="24" hidden="0" customWidth="1"/>
    <x:col min="8" max="8" width="38" hidden="0" customWidth="1"/>
    <x:col min="9" max="9" width="22" hidden="0" customWidth="1"/>
    <x:col min="10" max="10" width="34" hidden="0" customWidth="1"/>
    <x:col min="11" max="11" width="52" hidden="0" customWidth="1"/>
    <x:col min="12" max="12" width="42" hidden="0" customWidth="1"/>
    <x:col min="13" max="13" width="42" hidden="0" customWidth="1"/>
    <x:col min="14" max="14" width="20" hidden="0" customWidth="1"/>
    <x:col min="15" max="15" width="28" hidden="0" customWidth="1"/>
    <x:col min="16" max="16" width="18" hidden="0" customWidth="1"/>
    <x:col min="17" max="17" width="18" hidden="0" customWidth="1"/>
    <x:col min="18" max="18" width="18" hidden="0" customWidth="1"/>
    <x:col min="19" max="19" width="16" hidden="0" customWidth="1"/>
    <x:col min="20" max="20" width="14" hidden="0" customWidth="1"/>
    <x:col min="21" max="21" width="14" hidden="0" customWidth="1"/>
    <x:col min="22" max="22" width="12" hidden="0" customWidth="1"/>
    <x:col min="23" max="23" width="12" hidden="0" customWidth="1"/>
    <x:col min="24" max="24" width="48" hidden="0" customWidth="1"/>
  </x:cols>
  <x:sheetData>
    <x:row r="1">
      <x:c r="A1" s="11" t="str">
        <x:v>connection_id</x:v>
      </x:c>
      <x:c r="B1" s="11" t="str">
        <x:v>source_node_id</x:v>
      </x:c>
      <x:c r="C1" s="11" t="str">
        <x:v>target_node_id</x:v>
      </x:c>
      <x:c r="D1" s="11" t="str">
        <x:v>source_process</x:v>
      </x:c>
      <x:c r="E1" s="11" t="str">
        <x:v>target_process</x:v>
      </x:c>
      <x:c r="F1" s="11" t="str">
        <x:v>source_lane</x:v>
      </x:c>
      <x:c r="G1" s="11" t="str">
        <x:v>target_lane</x:v>
      </x:c>
      <x:c r="H1" s="11" t="str">
        <x:v>system_name</x:v>
      </x:c>
      <x:c r="I1" s="11" t="str">
        <x:v>system_category</x:v>
      </x:c>
      <x:c r="J1" s="11" t="str">
        <x:v>connection_type</x:v>
      </x:c>
      <x:c r="K1" s="11" t="str">
        <x:v>data_transmitted</x:v>
      </x:c>
      <x:c r="L1" s="11" t="str">
        <x:v>trigger_event</x:v>
      </x:c>
      <x:c r="M1" s="11" t="str">
        <x:v>automation_role</x:v>
      </x:c>
      <x:c r="N1" s="11" t="str">
        <x:v>lifecycle_status</x:v>
      </x:c>
      <x:c r="O1" s="11" t="str">
        <x:v>owner</x:v>
      </x:c>
      <x:c r="P1" s="11" t="str">
        <x:v>frequency</x:v>
      </x:c>
      <x:c r="Q1" s="11" t="str">
        <x:v>directionality</x:v>
      </x:c>
      <x:c r="R1" s="11" t="str">
        <x:v>react_edge_id</x:v>
      </x:c>
      <x:c r="S1" s="11" t="str">
        <x:v>react_edge_type</x:v>
      </x:c>
      <x:c r="T1" s="11" t="str">
        <x:v>line_color</x:v>
      </x:c>
      <x:c r="U1" s="11" t="str">
        <x:v>line_style</x:v>
      </x:c>
      <x:c r="V1" s="11" t="str">
        <x:v>line_width</x:v>
      </x:c>
      <x:c r="W1" s="11" t="str">
        <x:v>animated</x:v>
      </x:c>
      <x:c r="X1" s="11" t="str">
        <x:v>notes</x:v>
      </x:c>
    </x:row>
    <x:row r="2">
      <x:c r="A2" s="21" t="str">
        <x:v>conn_001</x:v>
      </x:c>
      <x:c r="B2" s="175" t="str">
        <x:v>sales_customer_opportunities</x:v>
      </x:c>
      <x:c r="C2" s="175" t="str">
        <x:v>estimating_quoting</x:v>
      </x:c>
      <x:c r="D2" s="175" t="str">
        <x:v>Sales &amp; Customer Opportunities</x:v>
      </x:c>
      <x:c r="E2" s="175" t="str">
        <x:v>Estimating &amp; Quoting</x:v>
      </x:c>
      <x:c r="F2" s="175" t="str">
        <x:v>Sales &amp; Quoting</x:v>
      </x:c>
      <x:c r="G2" s="175" t="str">
        <x:v>Sales &amp; Quoting</x:v>
      </x:c>
      <x:c r="H2" s="175" t="str">
        <x:v>JobBoss2</x:v>
      </x:c>
      <x:c r="I2" s="175" t="str">
        <x:v>ERP/MRP System</x:v>
      </x:c>
      <x:c r="J2" s="175" t="str">
        <x:v>Opportunity-to-quote handoff</x:v>
      </x:c>
      <x:c r="K2" s="175" t="str">
        <x:v>Customer, contact, RFQ, opportunity notes, due date</x:v>
      </x:c>
      <x:c r="L2" s="175" t="str">
        <x:v>Opportunity is qualified or RFQ is received</x:v>
      </x:c>
      <x:c r="M2" s="175" t="str">
        <x:v>None / system record</x:v>
      </x:c>
      <x:c r="N2" s="175" t="str">
        <x:v>Notional Current</x:v>
      </x:c>
      <x:c r="O2" s="175" t="str">
        <x:v>Sales / Estimating</x:v>
      </x:c>
      <x:c r="P2" s="175" t="str">
        <x:v>Per RFQ</x:v>
      </x:c>
      <x:c r="Q2" s="175" t="str">
        <x:v>Source to target</x:v>
      </x:c>
      <x:c r="R2" s="175" t="str">
        <x:v>df_conn_001</x:v>
      </x:c>
      <x:c r="S2" s="175" t="str">
        <x:v>smoothstep</x:v>
      </x:c>
      <x:c r="T2" s="175" t="str">
        <x:v>#2563EB</x:v>
      </x:c>
      <x:c r="U2" s="175" t="str">
        <x:v>solid</x:v>
      </x:c>
      <x:c r="V2" s="177" t="n">
        <x:v>2</x:v>
      </x:c>
      <x:c r="W2" s="185" t="b">
        <x:v>0</x:v>
      </x:c>
      <x:c r="X2" s="22" t="str">
        <x:v>Notional connection for React data-flow overlay; validate with process owners.</x:v>
      </x:c>
    </x:row>
    <x:row r="3">
      <x:c r="A3" s="23" t="str">
        <x:v>conn_002</x:v>
      </x:c>
      <x:c r="B3" s="176" t="str">
        <x:v>estimating_quoting</x:v>
      </x:c>
      <x:c r="C3" s="176" t="str">
        <x:v>order_review_processing</x:v>
      </x:c>
      <x:c r="D3" s="176" t="str">
        <x:v>Estimating &amp; Quoting</x:v>
      </x:c>
      <x:c r="E3" s="176" t="str">
        <x:v>Order Review &amp; Processing</x:v>
      </x:c>
      <x:c r="F3" s="176" t="str">
        <x:v>Sales &amp; Quoting</x:v>
      </x:c>
      <x:c r="G3" s="176" t="str">
        <x:v>Order Processing</x:v>
      </x:c>
      <x:c r="H3" s="176" t="str">
        <x:v>JobBoss2</x:v>
      </x:c>
      <x:c r="I3" s="176" t="str">
        <x:v>ERP/MRP System</x:v>
      </x:c>
      <x:c r="J3" s="176" t="str">
        <x:v>Quote-to-order conversion</x:v>
      </x:c>
      <x:c r="K3" s="176" t="str">
        <x:v>Quote, pricing, assumptions, lead time, exclusions</x:v>
      </x:c>
      <x:c r="L3" s="176" t="str">
        <x:v>Customer accepts quote and sends PO</x:v>
      </x:c>
      <x:c r="M3" s="176" t="str">
        <x:v>None / system record</x:v>
      </x:c>
      <x:c r="N3" s="176" t="str">
        <x:v>Notional Current</x:v>
      </x:c>
      <x:c r="O3" s="176" t="str">
        <x:v>Estimating / Order Processing</x:v>
      </x:c>
      <x:c r="P3" s="176" t="str">
        <x:v>Per order</x:v>
      </x:c>
      <x:c r="Q3" s="176" t="str">
        <x:v>Source to target</x:v>
      </x:c>
      <x:c r="R3" s="176" t="str">
        <x:v>df_conn_002</x:v>
      </x:c>
      <x:c r="S3" s="176" t="str">
        <x:v>smoothstep</x:v>
      </x:c>
      <x:c r="T3" s="176" t="str">
        <x:v>#2563EB</x:v>
      </x:c>
      <x:c r="U3" s="176" t="str">
        <x:v>solid</x:v>
      </x:c>
      <x:c r="V3" s="178" t="n">
        <x:v>2</x:v>
      </x:c>
      <x:c r="W3" s="186" t="b">
        <x:v>0</x:v>
      </x:c>
      <x:c r="X3" s="24" t="str">
        <x:v>Notional connection for React data-flow overlay; validate with process owners.</x:v>
      </x:c>
    </x:row>
    <x:row r="4">
      <x:c r="A4" s="23" t="str">
        <x:v>conn_003</x:v>
      </x:c>
      <x:c r="B4" s="176" t="str">
        <x:v>order_review_processing</x:v>
      </x:c>
      <x:c r="C4" s="176" t="str">
        <x:v>engineering_production_planning</x:v>
      </x:c>
      <x:c r="D4" s="176" t="str">
        <x:v>Order Review &amp; Processing</x:v>
      </x:c>
      <x:c r="E4" s="176" t="str">
        <x:v>Engineering &amp; Production Planning</x:v>
      </x:c>
      <x:c r="F4" s="176" t="str">
        <x:v>Order Processing</x:v>
      </x:c>
      <x:c r="G4" s="176" t="str">
        <x:v>Engineering &amp; Planning</x:v>
      </x:c>
      <x:c r="H4" s="176" t="str">
        <x:v>Microsoft SharePoint / Teams / Outlook</x:v>
      </x:c>
      <x:c r="I4" s="176" t="str">
        <x:v>Department Software</x:v>
      </x:c>
      <x:c r="J4" s="176" t="str">
        <x:v>Order package release</x:v>
      </x:c>
      <x:c r="K4" s="176" t="str">
        <x:v>PO, quote, drawings, revisions, contract review checklist</x:v>
      </x:c>
      <x:c r="L4" s="176" t="str">
        <x:v>Order review is accepted</x:v>
      </x:c>
      <x:c r="M4" s="176" t="str">
        <x:v>Document routing and notification</x:v>
      </x:c>
      <x:c r="N4" s="176" t="str">
        <x:v>Notional Current</x:v>
      </x:c>
      <x:c r="O4" s="176" t="str">
        <x:v>Order Processing / Engineering</x:v>
      </x:c>
      <x:c r="P4" s="176" t="str">
        <x:v>Per order</x:v>
      </x:c>
      <x:c r="Q4" s="176" t="str">
        <x:v>Source to target</x:v>
      </x:c>
      <x:c r="R4" s="176" t="str">
        <x:v>df_conn_003</x:v>
      </x:c>
      <x:c r="S4" s="176" t="str">
        <x:v>smoothstep</x:v>
      </x:c>
      <x:c r="T4" s="176" t="str">
        <x:v>#7C3AED</x:v>
      </x:c>
      <x:c r="U4" s="176" t="str">
        <x:v>dash</x:v>
      </x:c>
      <x:c r="V4" s="178" t="n">
        <x:v>2</x:v>
      </x:c>
      <x:c r="W4" s="186" t="b">
        <x:v>0</x:v>
      </x:c>
      <x:c r="X4" s="24" t="str">
        <x:v>Notional connection for React data-flow overlay; validate with process owners.</x:v>
      </x:c>
    </x:row>
    <x:row r="5">
      <x:c r="A5" s="23" t="str">
        <x:v>conn_004</x:v>
      </x:c>
      <x:c r="B5" s="176" t="str">
        <x:v>order_review_processing</x:v>
      </x:c>
      <x:c r="C5" s="176" t="str">
        <x:v>engineering_production_planning</x:v>
      </x:c>
      <x:c r="D5" s="176" t="str">
        <x:v>Order Review &amp; Processing</x:v>
      </x:c>
      <x:c r="E5" s="176" t="str">
        <x:v>Engineering &amp; Production Planning</x:v>
      </x:c>
      <x:c r="F5" s="176" t="str">
        <x:v>Order Processing</x:v>
      </x:c>
      <x:c r="G5" s="176" t="str">
        <x:v>Engineering &amp; Planning</x:v>
      </x:c>
      <x:c r="H5" s="176" t="str">
        <x:v>AI PO-to-quote mismatch checker</x:v>
      </x:c>
      <x:c r="I5" s="176" t="str">
        <x:v>AI/Automation</x:v>
      </x:c>
      <x:c r="J5" s="176" t="str">
        <x:v>Pre-release exception alert</x:v>
      </x:c>
      <x:c r="K5" s="176" t="str">
        <x:v>PO-to-quote mismatches, revision conflicts, missing flowdowns</x:v>
      </x:c>
      <x:c r="L5" s="176" t="str">
        <x:v>Order package is prepared for release</x:v>
      </x:c>
      <x:c r="M5" s="176" t="str">
        <x:v>AI flags exceptions for human review</x:v>
      </x:c>
      <x:c r="N5" s="176" t="str">
        <x:v>Notional Proposed</x:v>
      </x:c>
      <x:c r="O5" s="176" t="str">
        <x:v>Order Processing / Quality</x:v>
      </x:c>
      <x:c r="P5" s="176" t="str">
        <x:v>Per order</x:v>
      </x:c>
      <x:c r="Q5" s="176" t="str">
        <x:v>Source to target</x:v>
      </x:c>
      <x:c r="R5" s="176" t="str">
        <x:v>df_conn_004</x:v>
      </x:c>
      <x:c r="S5" s="176" t="str">
        <x:v>smoothstep</x:v>
      </x:c>
      <x:c r="T5" s="176" t="str">
        <x:v>#047857</x:v>
      </x:c>
      <x:c r="U5" s="176" t="str">
        <x:v>dot</x:v>
      </x:c>
      <x:c r="V5" s="178" t="n">
        <x:v>3</x:v>
      </x:c>
      <x:c r="W5" s="186" t="b">
        <x:v>1</x:v>
      </x:c>
      <x:c r="X5" s="24" t="str">
        <x:v>Notional connection for React data-flow overlay; validate with process owners.</x:v>
      </x:c>
    </x:row>
    <x:row r="6">
      <x:c r="A6" s="23" t="str">
        <x:v>conn_005</x:v>
      </x:c>
      <x:c r="B6" s="176" t="str">
        <x:v>engineering_production_planning</x:v>
      </x:c>
      <x:c r="C6" s="176" t="str">
        <x:v>purchasing_supplier_management</x:v>
      </x:c>
      <x:c r="D6" s="176" t="str">
        <x:v>Engineering &amp; Production Planning</x:v>
      </x:c>
      <x:c r="E6" s="176" t="str">
        <x:v>Purchasing &amp; Supplier Management</x:v>
      </x:c>
      <x:c r="F6" s="176" t="str">
        <x:v>Engineering &amp; Planning</x:v>
      </x:c>
      <x:c r="G6" s="176" t="str">
        <x:v>Supply Chain</x:v>
      </x:c>
      <x:c r="H6" s="176" t="str">
        <x:v>JobBoss2</x:v>
      </x:c>
      <x:c r="I6" s="176" t="str">
        <x:v>ERP/MRP System</x:v>
      </x:c>
      <x:c r="J6" s="176" t="str">
        <x:v>BOM-to-purchasing demand</x:v>
      </x:c>
      <x:c r="K6" s="176" t="str">
        <x:v>BOM, material requirements, outside-process needs, due dates</x:v>
      </x:c>
      <x:c r="L6" s="176" t="str">
        <x:v>Engineering releases BOM/routing</x:v>
      </x:c>
      <x:c r="M6" s="176" t="str">
        <x:v>MRP demand generation</x:v>
      </x:c>
      <x:c r="N6" s="176" t="str">
        <x:v>Notional Current</x:v>
      </x:c>
      <x:c r="O6" s="176" t="str">
        <x:v>Engineering / Purchasing</x:v>
      </x:c>
      <x:c r="P6" s="176" t="str">
        <x:v>Per release</x:v>
      </x:c>
      <x:c r="Q6" s="176" t="str">
        <x:v>Source to target</x:v>
      </x:c>
      <x:c r="R6" s="176" t="str">
        <x:v>df_conn_005</x:v>
      </x:c>
      <x:c r="S6" s="176" t="str">
        <x:v>smoothstep</x:v>
      </x:c>
      <x:c r="T6" s="176" t="str">
        <x:v>#2563EB</x:v>
      </x:c>
      <x:c r="U6" s="176" t="str">
        <x:v>solid</x:v>
      </x:c>
      <x:c r="V6" s="178" t="n">
        <x:v>2</x:v>
      </x:c>
      <x:c r="W6" s="186" t="b">
        <x:v>0</x:v>
      </x:c>
      <x:c r="X6" s="24" t="str">
        <x:v>Notional connection for React data-flow overlay; validate with process owners.</x:v>
      </x:c>
    </x:row>
    <x:row r="7">
      <x:c r="A7" s="23" t="str">
        <x:v>conn_006</x:v>
      </x:c>
      <x:c r="B7" s="176" t="str">
        <x:v>purchasing_supplier_management</x:v>
      </x:c>
      <x:c r="C7" s="176" t="str">
        <x:v>receiving_material_control</x:v>
      </x:c>
      <x:c r="D7" s="176" t="str">
        <x:v>Purchasing &amp; Supplier Management</x:v>
      </x:c>
      <x:c r="E7" s="176" t="str">
        <x:v>Receiving &amp; Material Control</x:v>
      </x:c>
      <x:c r="F7" s="176" t="str">
        <x:v>Supply Chain</x:v>
      </x:c>
      <x:c r="G7" s="176" t="str">
        <x:v>Supply Chain</x:v>
      </x:c>
      <x:c r="H7" s="176" t="str">
        <x:v>JobBoss2</x:v>
      </x:c>
      <x:c r="I7" s="176" t="str">
        <x:v>ERP/MRP System</x:v>
      </x:c>
      <x:c r="J7" s="176" t="str">
        <x:v>PO-to-receiving handoff</x:v>
      </x:c>
      <x:c r="K7" s="176" t="str">
        <x:v>PO lines, supplier, material spec, cert requirements, promised date</x:v>
      </x:c>
      <x:c r="L7" s="176" t="str">
        <x:v>Purchase order is issued</x:v>
      </x:c>
      <x:c r="M7" s="176" t="str">
        <x:v>Receiving expectation created</x:v>
      </x:c>
      <x:c r="N7" s="176" t="str">
        <x:v>Notional Current</x:v>
      </x:c>
      <x:c r="O7" s="176" t="str">
        <x:v>Purchasing / Receiving</x:v>
      </x:c>
      <x:c r="P7" s="176" t="str">
        <x:v>Per PO</x:v>
      </x:c>
      <x:c r="Q7" s="176" t="str">
        <x:v>Source to target</x:v>
      </x:c>
      <x:c r="R7" s="176" t="str">
        <x:v>df_conn_006</x:v>
      </x:c>
      <x:c r="S7" s="176" t="str">
        <x:v>smoothstep</x:v>
      </x:c>
      <x:c r="T7" s="176" t="str">
        <x:v>#2563EB</x:v>
      </x:c>
      <x:c r="U7" s="176" t="str">
        <x:v>solid</x:v>
      </x:c>
      <x:c r="V7" s="178" t="n">
        <x:v>2</x:v>
      </x:c>
      <x:c r="W7" s="186" t="b">
        <x:v>0</x:v>
      </x:c>
      <x:c r="X7" s="24" t="str">
        <x:v>Notional connection for React data-flow overlay; validate with process owners.</x:v>
      </x:c>
    </x:row>
    <x:row r="8">
      <x:c r="A8" s="23" t="str">
        <x:v>conn_007</x:v>
      </x:c>
      <x:c r="B8" s="176" t="str">
        <x:v>receiving_material_control</x:v>
      </x:c>
      <x:c r="C8" s="176" t="str">
        <x:v>final_quality_assurance</x:v>
      </x:c>
      <x:c r="D8" s="176" t="str">
        <x:v>Receiving &amp; Material Control</x:v>
      </x:c>
      <x:c r="E8" s="176" t="str">
        <x:v>Final Quality Assurance</x:v>
      </x:c>
      <x:c r="F8" s="176" t="str">
        <x:v>Supply Chain</x:v>
      </x:c>
      <x:c r="G8" s="176" t="str">
        <x:v>Quality Assurance</x:v>
      </x:c>
      <x:c r="H8" s="176" t="str">
        <x:v>AI cert OCR and material traceability checker</x:v>
      </x:c>
      <x:c r="I8" s="176" t="str">
        <x:v>AI/Automation</x:v>
      </x:c>
      <x:c r="J8" s="176" t="str">
        <x:v>Incoming cert review</x:v>
      </x:c>
      <x:c r="K8" s="176" t="str">
        <x:v>Cert data, heat/lot, material grade, PO/spec match, mismatch flags</x:v>
      </x:c>
      <x:c r="L8" s="176" t="str">
        <x:v>Material and certs are received</x:v>
      </x:c>
      <x:c r="M8" s="176" t="str">
        <x:v>AI extracts and compares certificate data for quality review</x:v>
      </x:c>
      <x:c r="N8" s="176" t="str">
        <x:v>Notional Proposed</x:v>
      </x:c>
      <x:c r="O8" s="176" t="str">
        <x:v>Receiving / Quality</x:v>
      </x:c>
      <x:c r="P8" s="176" t="str">
        <x:v>Per receipt</x:v>
      </x:c>
      <x:c r="Q8" s="176" t="str">
        <x:v>Source to target</x:v>
      </x:c>
      <x:c r="R8" s="176" t="str">
        <x:v>df_conn_007</x:v>
      </x:c>
      <x:c r="S8" s="176" t="str">
        <x:v>smoothstep</x:v>
      </x:c>
      <x:c r="T8" s="176" t="str">
        <x:v>#047857</x:v>
      </x:c>
      <x:c r="U8" s="176" t="str">
        <x:v>dot</x:v>
      </x:c>
      <x:c r="V8" s="178" t="n">
        <x:v>3</x:v>
      </x:c>
      <x:c r="W8" s="186" t="b">
        <x:v>1</x:v>
      </x:c>
      <x:c r="X8" s="24" t="str">
        <x:v>Notional connection for React data-flow overlay; validate with process owners.</x:v>
      </x:c>
    </x:row>
    <x:row r="9">
      <x:c r="A9" s="23" t="str">
        <x:v>conn_008</x:v>
      </x:c>
      <x:c r="B9" s="176" t="str">
        <x:v>receiving_material_control</x:v>
      </x:c>
      <x:c r="C9" s="176" t="str">
        <x:v>project_management</x:v>
      </x:c>
      <x:c r="D9" s="176" t="str">
        <x:v>Receiving &amp; Material Control</x:v>
      </x:c>
      <x:c r="E9" s="176" t="str">
        <x:v>Project Management</x:v>
      </x:c>
      <x:c r="F9" s="176" t="str">
        <x:v>Supply Chain</x:v>
      </x:c>
      <x:c r="G9" s="176" t="str">
        <x:v>Project Management</x:v>
      </x:c>
      <x:c r="H9" s="176" t="str">
        <x:v>JobBoss2</x:v>
      </x:c>
      <x:c r="I9" s="176" t="str">
        <x:v>ERP/MRP System</x:v>
      </x:c>
      <x:c r="J9" s="176" t="str">
        <x:v>Material availability update</x:v>
      </x:c>
      <x:c r="K9" s="176" t="str">
        <x:v>Receipt status, inventory location, shortages, material hold status</x:v>
      </x:c>
      <x:c r="L9" s="176" t="str">
        <x:v>Material is received or placed on hold</x:v>
      </x:c>
      <x:c r="M9" s="176" t="str">
        <x:v>Status update</x:v>
      </x:c>
      <x:c r="N9" s="176" t="str">
        <x:v>Notional Current</x:v>
      </x:c>
      <x:c r="O9" s="176" t="str">
        <x:v>Receiving / Project Management</x:v>
      </x:c>
      <x:c r="P9" s="176" t="str">
        <x:v>Daily / per receipt</x:v>
      </x:c>
      <x:c r="Q9" s="176" t="str">
        <x:v>Source to target</x:v>
      </x:c>
      <x:c r="R9" s="176" t="str">
        <x:v>df_conn_008</x:v>
      </x:c>
      <x:c r="S9" s="176" t="str">
        <x:v>smoothstep</x:v>
      </x:c>
      <x:c r="T9" s="176" t="str">
        <x:v>#2563EB</x:v>
      </x:c>
      <x:c r="U9" s="176" t="str">
        <x:v>solid</x:v>
      </x:c>
      <x:c r="V9" s="178" t="n">
        <x:v>2</x:v>
      </x:c>
      <x:c r="W9" s="186" t="b">
        <x:v>0</x:v>
      </x:c>
      <x:c r="X9" s="24" t="str">
        <x:v>Notional connection for React data-flow overlay; validate with process owners.</x:v>
      </x:c>
    </x:row>
    <x:row r="10">
      <x:c r="A10" s="23" t="str">
        <x:v>conn_009</x:v>
      </x:c>
      <x:c r="B10" s="176" t="str">
        <x:v>engineering_production_planning</x:v>
      </x:c>
      <x:c r="C10" s="176" t="str">
        <x:v>project_management</x:v>
      </x:c>
      <x:c r="D10" s="176" t="str">
        <x:v>Engineering &amp; Production Planning</x:v>
      </x:c>
      <x:c r="E10" s="176" t="str">
        <x:v>Project Management</x:v>
      </x:c>
      <x:c r="F10" s="176" t="str">
        <x:v>Engineering &amp; Planning</x:v>
      </x:c>
      <x:c r="G10" s="176" t="str">
        <x:v>Project Management</x:v>
      </x:c>
      <x:c r="H10" s="176" t="str">
        <x:v>Microsoft SharePoint / Teams / Outlook</x:v>
      </x:c>
      <x:c r="I10" s="176" t="str">
        <x:v>Department Software</x:v>
      </x:c>
      <x:c r="J10" s="176" t="str">
        <x:v>Engineering release and open questions</x:v>
      </x:c>
      <x:c r="K10" s="176" t="str">
        <x:v>Release status, engineering questions, revision decisions, blockers</x:v>
      </x:c>
      <x:c r="L10" s="176" t="str">
        <x:v>Engineering package is reviewed or changed</x:v>
      </x:c>
      <x:c r="M10" s="176" t="str">
        <x:v>Teams notification / action item</x:v>
      </x:c>
      <x:c r="N10" s="176" t="str">
        <x:v>Notional Current</x:v>
      </x:c>
      <x:c r="O10" s="176" t="str">
        <x:v>Engineering / Project Management</x:v>
      </x:c>
      <x:c r="P10" s="176" t="str">
        <x:v>Daily / per issue</x:v>
      </x:c>
      <x:c r="Q10" s="176" t="str">
        <x:v>Source to target</x:v>
      </x:c>
      <x:c r="R10" s="176" t="str">
        <x:v>df_conn_009</x:v>
      </x:c>
      <x:c r="S10" s="176" t="str">
        <x:v>smoothstep</x:v>
      </x:c>
      <x:c r="T10" s="176" t="str">
        <x:v>#7C3AED</x:v>
      </x:c>
      <x:c r="U10" s="176" t="str">
        <x:v>dash</x:v>
      </x:c>
      <x:c r="V10" s="178" t="n">
        <x:v>2</x:v>
      </x:c>
      <x:c r="W10" s="186" t="b">
        <x:v>0</x:v>
      </x:c>
      <x:c r="X10" s="24" t="str">
        <x:v>Notional connection for React data-flow overlay; validate with process owners.</x:v>
      </x:c>
    </x:row>
    <x:row r="11">
      <x:c r="A11" s="23" t="str">
        <x:v>conn_010</x:v>
      </x:c>
      <x:c r="B11" s="176" t="str">
        <x:v>project_management</x:v>
      </x:c>
      <x:c r="C11" s="176" t="str">
        <x:v>laser_waterjet</x:v>
      </x:c>
      <x:c r="D11" s="176" t="str">
        <x:v>Project Management</x:v>
      </x:c>
      <x:c r="E11" s="176" t="str">
        <x:v>Laser &amp; Waterjet</x:v>
      </x:c>
      <x:c r="F11" s="176" t="str">
        <x:v>Project Management</x:v>
      </x:c>
      <x:c r="G11" s="176" t="str">
        <x:v>Manufacturing</x:v>
      </x:c>
      <x:c r="H11" s="176" t="str">
        <x:v>JobBoss2</x:v>
      </x:c>
      <x:c r="I11" s="176" t="str">
        <x:v>ERP/MRP System</x:v>
      </x:c>
      <x:c r="J11" s="176" t="str">
        <x:v>Shop dispatch to laser/waterjet</x:v>
      </x:c>
      <x:c r="K11" s="176" t="str">
        <x:v>Released operation, priority, due date, material status</x:v>
      </x:c>
      <x:c r="L11" s="176" t="str">
        <x:v>Job is ready to cut</x:v>
      </x:c>
      <x:c r="M11" s="176" t="str">
        <x:v>Dispatch list</x:v>
      </x:c>
      <x:c r="N11" s="176" t="str">
        <x:v>Notional Current</x:v>
      </x:c>
      <x:c r="O11" s="176" t="str">
        <x:v>Project Management / Fabrication</x:v>
      </x:c>
      <x:c r="P11" s="176" t="str">
        <x:v>Daily</x:v>
      </x:c>
      <x:c r="Q11" s="176" t="str">
        <x:v>Source to target</x:v>
      </x:c>
      <x:c r="R11" s="176" t="str">
        <x:v>df_conn_010</x:v>
      </x:c>
      <x:c r="S11" s="176" t="str">
        <x:v>smoothstep</x:v>
      </x:c>
      <x:c r="T11" s="176" t="str">
        <x:v>#2563EB</x:v>
      </x:c>
      <x:c r="U11" s="176" t="str">
        <x:v>solid</x:v>
      </x:c>
      <x:c r="V11" s="178" t="n">
        <x:v>2</x:v>
      </x:c>
      <x:c r="W11" s="186" t="b">
        <x:v>0</x:v>
      </x:c>
      <x:c r="X11" s="24" t="str">
        <x:v>Notional connection for React data-flow overlay; validate with process owners.</x:v>
      </x:c>
    </x:row>
    <x:row r="12">
      <x:c r="A12" s="23" t="str">
        <x:v>conn_011</x:v>
      </x:c>
      <x:c r="B12" s="176" t="str">
        <x:v>project_management</x:v>
      </x:c>
      <x:c r="C12" s="176" t="str">
        <x:v>bending</x:v>
      </x:c>
      <x:c r="D12" s="176" t="str">
        <x:v>Project Management</x:v>
      </x:c>
      <x:c r="E12" s="176" t="str">
        <x:v>Bending</x:v>
      </x:c>
      <x:c r="F12" s="176" t="str">
        <x:v>Project Management</x:v>
      </x:c>
      <x:c r="G12" s="176" t="str">
        <x:v>Manufacturing</x:v>
      </x:c>
      <x:c r="H12" s="176" t="str">
        <x:v>JobBoss2</x:v>
      </x:c>
      <x:c r="I12" s="176" t="str">
        <x:v>ERP/MRP System</x:v>
      </x:c>
      <x:c r="J12" s="176" t="str">
        <x:v>Shop dispatch to bending</x:v>
      </x:c>
      <x:c r="K12" s="176" t="str">
        <x:v>Released operation, priority, due date, material status</x:v>
      </x:c>
      <x:c r="L12" s="176" t="str">
        <x:v>Job is ready to bend</x:v>
      </x:c>
      <x:c r="M12" s="176" t="str">
        <x:v>Dispatch list</x:v>
      </x:c>
      <x:c r="N12" s="176" t="str">
        <x:v>Notional Current</x:v>
      </x:c>
      <x:c r="O12" s="176" t="str">
        <x:v>Project Management / Fabrication</x:v>
      </x:c>
      <x:c r="P12" s="176" t="str">
        <x:v>Daily</x:v>
      </x:c>
      <x:c r="Q12" s="176" t="str">
        <x:v>Source to target</x:v>
      </x:c>
      <x:c r="R12" s="176" t="str">
        <x:v>df_conn_011</x:v>
      </x:c>
      <x:c r="S12" s="176" t="str">
        <x:v>smoothstep</x:v>
      </x:c>
      <x:c r="T12" s="176" t="str">
        <x:v>#2563EB</x:v>
      </x:c>
      <x:c r="U12" s="176" t="str">
        <x:v>solid</x:v>
      </x:c>
      <x:c r="V12" s="178" t="n">
        <x:v>2</x:v>
      </x:c>
      <x:c r="W12" s="186" t="b">
        <x:v>0</x:v>
      </x:c>
      <x:c r="X12" s="24" t="str">
        <x:v>Notional connection for React data-flow overlay; validate with process owners.</x:v>
      </x:c>
    </x:row>
    <x:row r="13">
      <x:c r="A13" s="23" t="str">
        <x:v>conn_012</x:v>
      </x:c>
      <x:c r="B13" s="176" t="str">
        <x:v>project_management</x:v>
      </x:c>
      <x:c r="C13" s="176" t="str">
        <x:v>machining</x:v>
      </x:c>
      <x:c r="D13" s="176" t="str">
        <x:v>Project Management</x:v>
      </x:c>
      <x:c r="E13" s="176" t="str">
        <x:v>Machining</x:v>
      </x:c>
      <x:c r="F13" s="176" t="str">
        <x:v>Project Management</x:v>
      </x:c>
      <x:c r="G13" s="176" t="str">
        <x:v>Manufacturing</x:v>
      </x:c>
      <x:c r="H13" s="176" t="str">
        <x:v>JobBoss2</x:v>
      </x:c>
      <x:c r="I13" s="176" t="str">
        <x:v>ERP/MRP System</x:v>
      </x:c>
      <x:c r="J13" s="176" t="str">
        <x:v>Shop dispatch to machining</x:v>
      </x:c>
      <x:c r="K13" s="176" t="str">
        <x:v>Released operation, priority, due date, material status</x:v>
      </x:c>
      <x:c r="L13" s="176" t="str">
        <x:v>Job is ready for machining</x:v>
      </x:c>
      <x:c r="M13" s="176" t="str">
        <x:v>Dispatch list</x:v>
      </x:c>
      <x:c r="N13" s="176" t="str">
        <x:v>Notional Current</x:v>
      </x:c>
      <x:c r="O13" s="176" t="str">
        <x:v>Project Management / Machining</x:v>
      </x:c>
      <x:c r="P13" s="176" t="str">
        <x:v>Daily</x:v>
      </x:c>
      <x:c r="Q13" s="176" t="str">
        <x:v>Source to target</x:v>
      </x:c>
      <x:c r="R13" s="176" t="str">
        <x:v>df_conn_012</x:v>
      </x:c>
      <x:c r="S13" s="176" t="str">
        <x:v>smoothstep</x:v>
      </x:c>
      <x:c r="T13" s="176" t="str">
        <x:v>#2563EB</x:v>
      </x:c>
      <x:c r="U13" s="176" t="str">
        <x:v>solid</x:v>
      </x:c>
      <x:c r="V13" s="178" t="n">
        <x:v>2</x:v>
      </x:c>
      <x:c r="W13" s="186" t="b">
        <x:v>0</x:v>
      </x:c>
      <x:c r="X13" s="24" t="str">
        <x:v>Notional connection for React data-flow overlay; validate with process owners.</x:v>
      </x:c>
    </x:row>
    <x:row r="14">
      <x:c r="A14" s="23" t="str">
        <x:v>conn_013</x:v>
      </x:c>
      <x:c r="B14" s="176" t="str">
        <x:v>project_management</x:v>
      </x:c>
      <x:c r="C14" s="176" t="str">
        <x:v>welding</x:v>
      </x:c>
      <x:c r="D14" s="176" t="str">
        <x:v>Project Management</x:v>
      </x:c>
      <x:c r="E14" s="176" t="str">
        <x:v>Welding</x:v>
      </x:c>
      <x:c r="F14" s="176" t="str">
        <x:v>Project Management</x:v>
      </x:c>
      <x:c r="G14" s="176" t="str">
        <x:v>Manufacturing</x:v>
      </x:c>
      <x:c r="H14" s="176" t="str">
        <x:v>JobBoss2</x:v>
      </x:c>
      <x:c r="I14" s="176" t="str">
        <x:v>ERP/MRP System</x:v>
      </x:c>
      <x:c r="J14" s="176" t="str">
        <x:v>Shop dispatch to welding</x:v>
      </x:c>
      <x:c r="K14" s="176" t="str">
        <x:v>Released operation, priority, due date, material status</x:v>
      </x:c>
      <x:c r="L14" s="176" t="str">
        <x:v>Job is ready for welding</x:v>
      </x:c>
      <x:c r="M14" s="176" t="str">
        <x:v>Dispatch list</x:v>
      </x:c>
      <x:c r="N14" s="176" t="str">
        <x:v>Notional Current</x:v>
      </x:c>
      <x:c r="O14" s="176" t="str">
        <x:v>Project Management / Welding</x:v>
      </x:c>
      <x:c r="P14" s="176" t="str">
        <x:v>Daily</x:v>
      </x:c>
      <x:c r="Q14" s="176" t="str">
        <x:v>Source to target</x:v>
      </x:c>
      <x:c r="R14" s="176" t="str">
        <x:v>df_conn_013</x:v>
      </x:c>
      <x:c r="S14" s="176" t="str">
        <x:v>smoothstep</x:v>
      </x:c>
      <x:c r="T14" s="176" t="str">
        <x:v>#2563EB</x:v>
      </x:c>
      <x:c r="U14" s="176" t="str">
        <x:v>solid</x:v>
      </x:c>
      <x:c r="V14" s="178" t="n">
        <x:v>2</x:v>
      </x:c>
      <x:c r="W14" s="186" t="b">
        <x:v>0</x:v>
      </x:c>
      <x:c r="X14" s="24" t="str">
        <x:v>Notional connection for React data-flow overlay; validate with process owners.</x:v>
      </x:c>
    </x:row>
    <x:row r="15">
      <x:c r="A15" s="23" t="str">
        <x:v>conn_014</x:v>
      </x:c>
      <x:c r="B15" s="176" t="str">
        <x:v>engineering_production_planning</x:v>
      </x:c>
      <x:c r="C15" s="176" t="str">
        <x:v>laser_waterjet</x:v>
      </x:c>
      <x:c r="D15" s="176" t="str">
        <x:v>Engineering &amp; Production Planning</x:v>
      </x:c>
      <x:c r="E15" s="176" t="str">
        <x:v>Laser &amp; Waterjet</x:v>
      </x:c>
      <x:c r="F15" s="176" t="str">
        <x:v>Engineering &amp; Planning</x:v>
      </x:c>
      <x:c r="G15" s="176" t="str">
        <x:v>Manufacturing</x:v>
      </x:c>
      <x:c r="H15" s="176" t="str">
        <x:v>Shop Department Software</x:v>
      </x:c>
      <x:c r="I15" s="176" t="str">
        <x:v>Department Software</x:v>
      </x:c>
      <x:c r="J15" s="176" t="str">
        <x:v>Cut-program release</x:v>
      </x:c>
      <x:c r="K15" s="176" t="str">
        <x:v>DXF, cut file, nest request, material/thickness, revision</x:v>
      </x:c>
      <x:c r="L15" s="176" t="str">
        <x:v>Engineering releases cut operation</x:v>
      </x:c>
      <x:c r="M15" s="176" t="str">
        <x:v>Program package transfer</x:v>
      </x:c>
      <x:c r="N15" s="176" t="str">
        <x:v>Notional Current</x:v>
      </x:c>
      <x:c r="O15" s="176" t="str">
        <x:v>Engineering / Laser-Waterjet</x:v>
      </x:c>
      <x:c r="P15" s="176" t="str">
        <x:v>Per released job</x:v>
      </x:c>
      <x:c r="Q15" s="176" t="str">
        <x:v>Source to target</x:v>
      </x:c>
      <x:c r="R15" s="176" t="str">
        <x:v>df_conn_014</x:v>
      </x:c>
      <x:c r="S15" s="176" t="str">
        <x:v>smoothstep</x:v>
      </x:c>
      <x:c r="T15" s="176" t="str">
        <x:v>#7C3AED</x:v>
      </x:c>
      <x:c r="U15" s="176" t="str">
        <x:v>solid</x:v>
      </x:c>
      <x:c r="V15" s="178" t="n">
        <x:v>2</x:v>
      </x:c>
      <x:c r="W15" s="186" t="b">
        <x:v>0</x:v>
      </x:c>
      <x:c r="X15" s="24" t="str">
        <x:v>Notional connection for React data-flow overlay; validate with process owners.</x:v>
      </x:c>
    </x:row>
    <x:row r="16">
      <x:c r="A16" s="23" t="str">
        <x:v>conn_015</x:v>
      </x:c>
      <x:c r="B16" s="176" t="str">
        <x:v>engineering_production_planning</x:v>
      </x:c>
      <x:c r="C16" s="176" t="str">
        <x:v>bending</x:v>
      </x:c>
      <x:c r="D16" s="176" t="str">
        <x:v>Engineering &amp; Production Planning</x:v>
      </x:c>
      <x:c r="E16" s="176" t="str">
        <x:v>Bending</x:v>
      </x:c>
      <x:c r="F16" s="176" t="str">
        <x:v>Engineering &amp; Planning</x:v>
      </x:c>
      <x:c r="G16" s="176" t="str">
        <x:v>Manufacturing</x:v>
      </x:c>
      <x:c r="H16" s="176" t="str">
        <x:v>Shop Department Software</x:v>
      </x:c>
      <x:c r="I16" s="176" t="str">
        <x:v>Department Software</x:v>
      </x:c>
      <x:c r="J16" s="176" t="str">
        <x:v>Bend-program release</x:v>
      </x:c>
      <x:c r="K16" s="176" t="str">
        <x:v>Bend sequence, setup sheet, tooling requirements, drawing revision</x:v>
      </x:c>
      <x:c r="L16" s="176" t="str">
        <x:v>Engineering releases bend operation</x:v>
      </x:c>
      <x:c r="M16" s="176" t="str">
        <x:v>Program package transfer</x:v>
      </x:c>
      <x:c r="N16" s="176" t="str">
        <x:v>Notional Current</x:v>
      </x:c>
      <x:c r="O16" s="176" t="str">
        <x:v>Engineering / Bending</x:v>
      </x:c>
      <x:c r="P16" s="176" t="str">
        <x:v>Per released job</x:v>
      </x:c>
      <x:c r="Q16" s="176" t="str">
        <x:v>Source to target</x:v>
      </x:c>
      <x:c r="R16" s="176" t="str">
        <x:v>df_conn_015</x:v>
      </x:c>
      <x:c r="S16" s="176" t="str">
        <x:v>smoothstep</x:v>
      </x:c>
      <x:c r="T16" s="176" t="str">
        <x:v>#7C3AED</x:v>
      </x:c>
      <x:c r="U16" s="176" t="str">
        <x:v>solid</x:v>
      </x:c>
      <x:c r="V16" s="178" t="n">
        <x:v>2</x:v>
      </x:c>
      <x:c r="W16" s="186" t="b">
        <x:v>0</x:v>
      </x:c>
      <x:c r="X16" s="24" t="str">
        <x:v>Notional connection for React data-flow overlay; validate with process owners.</x:v>
      </x:c>
    </x:row>
    <x:row r="17">
      <x:c r="A17" s="23" t="str">
        <x:v>conn_016</x:v>
      </x:c>
      <x:c r="B17" s="176" t="str">
        <x:v>engineering_production_planning</x:v>
      </x:c>
      <x:c r="C17" s="176" t="str">
        <x:v>machining</x:v>
      </x:c>
      <x:c r="D17" s="176" t="str">
        <x:v>Engineering &amp; Production Planning</x:v>
      </x:c>
      <x:c r="E17" s="176" t="str">
        <x:v>Machining</x:v>
      </x:c>
      <x:c r="F17" s="176" t="str">
        <x:v>Engineering &amp; Planning</x:v>
      </x:c>
      <x:c r="G17" s="176" t="str">
        <x:v>Manufacturing</x:v>
      </x:c>
      <x:c r="H17" s="176" t="str">
        <x:v>Shop Department Software</x:v>
      </x:c>
      <x:c r="I17" s="176" t="str">
        <x:v>Department Software</x:v>
      </x:c>
      <x:c r="J17" s="176" t="str">
        <x:v>CAM/programming release</x:v>
      </x:c>
      <x:c r="K17" s="176" t="str">
        <x:v>CAM package, setup sheet, tooling list, inspection features</x:v>
      </x:c>
      <x:c r="L17" s="176" t="str">
        <x:v>Engineering releases machining operation</x:v>
      </x:c>
      <x:c r="M17" s="176" t="str">
        <x:v>Program package transfer</x:v>
      </x:c>
      <x:c r="N17" s="176" t="str">
        <x:v>Notional Current</x:v>
      </x:c>
      <x:c r="O17" s="176" t="str">
        <x:v>Engineering / Machining</x:v>
      </x:c>
      <x:c r="P17" s="176" t="str">
        <x:v>Per released job</x:v>
      </x:c>
      <x:c r="Q17" s="176" t="str">
        <x:v>Source to target</x:v>
      </x:c>
      <x:c r="R17" s="176" t="str">
        <x:v>df_conn_016</x:v>
      </x:c>
      <x:c r="S17" s="176" t="str">
        <x:v>smoothstep</x:v>
      </x:c>
      <x:c r="T17" s="176" t="str">
        <x:v>#7C3AED</x:v>
      </x:c>
      <x:c r="U17" s="176" t="str">
        <x:v>solid</x:v>
      </x:c>
      <x:c r="V17" s="178" t="n">
        <x:v>2</x:v>
      </x:c>
      <x:c r="W17" s="186" t="b">
        <x:v>0</x:v>
      </x:c>
      <x:c r="X17" s="24" t="str">
        <x:v>Notional connection for React data-flow overlay; validate with process owners.</x:v>
      </x:c>
    </x:row>
    <x:row r="18">
      <x:c r="A18" s="23" t="str">
        <x:v>conn_017</x:v>
      </x:c>
      <x:c r="B18" s="176" t="str">
        <x:v>engineering_production_planning</x:v>
      </x:c>
      <x:c r="C18" s="176" t="str">
        <x:v>welding</x:v>
      </x:c>
      <x:c r="D18" s="176" t="str">
        <x:v>Engineering &amp; Production Planning</x:v>
      </x:c>
      <x:c r="E18" s="176" t="str">
        <x:v>Welding</x:v>
      </x:c>
      <x:c r="F18" s="176" t="str">
        <x:v>Engineering &amp; Planning</x:v>
      </x:c>
      <x:c r="G18" s="176" t="str">
        <x:v>Manufacturing</x:v>
      </x:c>
      <x:c r="H18" s="176" t="str">
        <x:v>Shop Department Software</x:v>
      </x:c>
      <x:c r="I18" s="176" t="str">
        <x:v>Department Software</x:v>
      </x:c>
      <x:c r="J18" s="176" t="str">
        <x:v>Weld package release</x:v>
      </x:c>
      <x:c r="K18" s="176" t="str">
        <x:v>Drawings, fixture notes, WPS requirements, weld map</x:v>
      </x:c>
      <x:c r="L18" s="176" t="str">
        <x:v>Engineering releases weld operation</x:v>
      </x:c>
      <x:c r="M18" s="176" t="str">
        <x:v>Program/package transfer</x:v>
      </x:c>
      <x:c r="N18" s="176" t="str">
        <x:v>Notional Current</x:v>
      </x:c>
      <x:c r="O18" s="176" t="str">
        <x:v>Engineering / Welding</x:v>
      </x:c>
      <x:c r="P18" s="176" t="str">
        <x:v>Per released job</x:v>
      </x:c>
      <x:c r="Q18" s="176" t="str">
        <x:v>Source to target</x:v>
      </x:c>
      <x:c r="R18" s="176" t="str">
        <x:v>df_conn_017</x:v>
      </x:c>
      <x:c r="S18" s="176" t="str">
        <x:v>smoothstep</x:v>
      </x:c>
      <x:c r="T18" s="176" t="str">
        <x:v>#7C3AED</x:v>
      </x:c>
      <x:c r="U18" s="176" t="str">
        <x:v>solid</x:v>
      </x:c>
      <x:c r="V18" s="178" t="n">
        <x:v>2</x:v>
      </x:c>
      <x:c r="W18" s="186" t="b">
        <x:v>0</x:v>
      </x:c>
      <x:c r="X18" s="24" t="str">
        <x:v>Notional connection for React data-flow overlay; validate with process owners.</x:v>
      </x:c>
    </x:row>
    <x:row r="19">
      <x:c r="A19" s="23" t="str">
        <x:v>conn_018</x:v>
      </x:c>
      <x:c r="B19" s="176" t="str">
        <x:v>laser_waterjet</x:v>
      </x:c>
      <x:c r="C19" s="176" t="str">
        <x:v>grinding_finishing</x:v>
      </x:c>
      <x:c r="D19" s="176" t="str">
        <x:v>Laser &amp; Waterjet</x:v>
      </x:c>
      <x:c r="E19" s="176" t="str">
        <x:v>Grinding &amp; Finishing</x:v>
      </x:c>
      <x:c r="F19" s="176" t="str">
        <x:v>Manufacturing</x:v>
      </x:c>
      <x:c r="G19" s="176" t="str">
        <x:v>Finishing &amp; Special Processes</x:v>
      </x:c>
      <x:c r="H19" s="176" t="str">
        <x:v>JobBoss2</x:v>
      </x:c>
      <x:c r="I19" s="176" t="str">
        <x:v>ERP/MRP System</x:v>
      </x:c>
      <x:c r="J19" s="176" t="str">
        <x:v>Cut completion and status</x:v>
      </x:c>
      <x:c r="K19" s="176" t="str">
        <x:v>Cut quantity, scrap/remnant, completion status, first-piece result</x:v>
      </x:c>
      <x:c r="L19" s="176" t="str">
        <x:v>Cut operation is completed</x:v>
      </x:c>
      <x:c r="M19" s="176" t="str">
        <x:v>Operation completion update</x:v>
      </x:c>
      <x:c r="N19" s="176" t="str">
        <x:v>Notional Current</x:v>
      </x:c>
      <x:c r="O19" s="176" t="str">
        <x:v>Laser-Waterjet / Finishing</x:v>
      </x:c>
      <x:c r="P19" s="176" t="str">
        <x:v>Per operation</x:v>
      </x:c>
      <x:c r="Q19" s="176" t="str">
        <x:v>Source to target</x:v>
      </x:c>
      <x:c r="R19" s="176" t="str">
        <x:v>df_conn_018</x:v>
      </x:c>
      <x:c r="S19" s="176" t="str">
        <x:v>smoothstep</x:v>
      </x:c>
      <x:c r="T19" s="176" t="str">
        <x:v>#2563EB</x:v>
      </x:c>
      <x:c r="U19" s="176" t="str">
        <x:v>solid</x:v>
      </x:c>
      <x:c r="V19" s="178" t="n">
        <x:v>2</x:v>
      </x:c>
      <x:c r="W19" s="186" t="b">
        <x:v>0</x:v>
      </x:c>
      <x:c r="X19" s="24" t="str">
        <x:v>Notional connection for React data-flow overlay; validate with process owners.</x:v>
      </x:c>
    </x:row>
    <x:row r="20">
      <x:c r="A20" s="23" t="str">
        <x:v>conn_019</x:v>
      </x:c>
      <x:c r="B20" s="176" t="str">
        <x:v>bending</x:v>
      </x:c>
      <x:c r="C20" s="176" t="str">
        <x:v>grinding_finishing</x:v>
      </x:c>
      <x:c r="D20" s="176" t="str">
        <x:v>Bending</x:v>
      </x:c>
      <x:c r="E20" s="176" t="str">
        <x:v>Grinding &amp; Finishing</x:v>
      </x:c>
      <x:c r="F20" s="176" t="str">
        <x:v>Manufacturing</x:v>
      </x:c>
      <x:c r="G20" s="176" t="str">
        <x:v>Finishing &amp; Special Processes</x:v>
      </x:c>
      <x:c r="H20" s="176" t="str">
        <x:v>JobBoss2</x:v>
      </x:c>
      <x:c r="I20" s="176" t="str">
        <x:v>ERP/MRP System</x:v>
      </x:c>
      <x:c r="J20" s="176" t="str">
        <x:v>Bending completion and status</x:v>
      </x:c>
      <x:c r="K20" s="176" t="str">
        <x:v>Formed quantity, setup notes, dimensional result, completion status</x:v>
      </x:c>
      <x:c r="L20" s="176" t="str">
        <x:v>Bend operation is completed</x:v>
      </x:c>
      <x:c r="M20" s="176" t="str">
        <x:v>Operation completion update</x:v>
      </x:c>
      <x:c r="N20" s="176" t="str">
        <x:v>Notional Current</x:v>
      </x:c>
      <x:c r="O20" s="176" t="str">
        <x:v>Bending / Finishing</x:v>
      </x:c>
      <x:c r="P20" s="176" t="str">
        <x:v>Per operation</x:v>
      </x:c>
      <x:c r="Q20" s="176" t="str">
        <x:v>Source to target</x:v>
      </x:c>
      <x:c r="R20" s="176" t="str">
        <x:v>df_conn_019</x:v>
      </x:c>
      <x:c r="S20" s="176" t="str">
        <x:v>smoothstep</x:v>
      </x:c>
      <x:c r="T20" s="176" t="str">
        <x:v>#2563EB</x:v>
      </x:c>
      <x:c r="U20" s="176" t="str">
        <x:v>solid</x:v>
      </x:c>
      <x:c r="V20" s="178" t="n">
        <x:v>2</x:v>
      </x:c>
      <x:c r="W20" s="186" t="b">
        <x:v>0</x:v>
      </x:c>
      <x:c r="X20" s="24" t="str">
        <x:v>Notional connection for React data-flow overlay; validate with process owners.</x:v>
      </x:c>
    </x:row>
    <x:row r="21">
      <x:c r="A21" s="23" t="str">
        <x:v>conn_020</x:v>
      </x:c>
      <x:c r="B21" s="176" t="str">
        <x:v>machining</x:v>
      </x:c>
      <x:c r="C21" s="176" t="str">
        <x:v>grinding_finishing</x:v>
      </x:c>
      <x:c r="D21" s="176" t="str">
        <x:v>Machining</x:v>
      </x:c>
      <x:c r="E21" s="176" t="str">
        <x:v>Grinding &amp; Finishing</x:v>
      </x:c>
      <x:c r="F21" s="176" t="str">
        <x:v>Manufacturing</x:v>
      </x:c>
      <x:c r="G21" s="176" t="str">
        <x:v>Finishing &amp; Special Processes</x:v>
      </x:c>
      <x:c r="H21" s="176" t="str">
        <x:v>JobBoss2</x:v>
      </x:c>
      <x:c r="I21" s="176" t="str">
        <x:v>ERP/MRP System</x:v>
      </x:c>
      <x:c r="J21" s="176" t="str">
        <x:v>Machining completion and status</x:v>
      </x:c>
      <x:c r="K21" s="176" t="str">
        <x:v>Machined quantity, inspection status, setup/cycle notes, completion status</x:v>
      </x:c>
      <x:c r="L21" s="176" t="str">
        <x:v>Machining operation is completed</x:v>
      </x:c>
      <x:c r="M21" s="176" t="str">
        <x:v>Operation completion update</x:v>
      </x:c>
      <x:c r="N21" s="176" t="str">
        <x:v>Notional Current</x:v>
      </x:c>
      <x:c r="O21" s="176" t="str">
        <x:v>Machining / Finishing</x:v>
      </x:c>
      <x:c r="P21" s="176" t="str">
        <x:v>Per operation</x:v>
      </x:c>
      <x:c r="Q21" s="176" t="str">
        <x:v>Source to target</x:v>
      </x:c>
      <x:c r="R21" s="176" t="str">
        <x:v>df_conn_020</x:v>
      </x:c>
      <x:c r="S21" s="176" t="str">
        <x:v>smoothstep</x:v>
      </x:c>
      <x:c r="T21" s="176" t="str">
        <x:v>#2563EB</x:v>
      </x:c>
      <x:c r="U21" s="176" t="str">
        <x:v>solid</x:v>
      </x:c>
      <x:c r="V21" s="178" t="n">
        <x:v>2</x:v>
      </x:c>
      <x:c r="W21" s="186" t="b">
        <x:v>0</x:v>
      </x:c>
      <x:c r="X21" s="24" t="str">
        <x:v>Notional connection for React data-flow overlay; validate with process owners.</x:v>
      </x:c>
    </x:row>
    <x:row r="22">
      <x:c r="A22" s="23" t="str">
        <x:v>conn_021</x:v>
      </x:c>
      <x:c r="B22" s="176" t="str">
        <x:v>welding</x:v>
      </x:c>
      <x:c r="C22" s="176" t="str">
        <x:v>grinding_finishing</x:v>
      </x:c>
      <x:c r="D22" s="176" t="str">
        <x:v>Welding</x:v>
      </x:c>
      <x:c r="E22" s="176" t="str">
        <x:v>Grinding &amp; Finishing</x:v>
      </x:c>
      <x:c r="F22" s="176" t="str">
        <x:v>Manufacturing</x:v>
      </x:c>
      <x:c r="G22" s="176" t="str">
        <x:v>Finishing &amp; Special Processes</x:v>
      </x:c>
      <x:c r="H22" s="176" t="str">
        <x:v>JobBoss2</x:v>
      </x:c>
      <x:c r="I22" s="176" t="str">
        <x:v>ERP/MRP System</x:v>
      </x:c>
      <x:c r="J22" s="176" t="str">
        <x:v>Welding completion and status</x:v>
      </x:c>
      <x:c r="K22" s="176" t="str">
        <x:v>Welded assembly status, inspection status, rework/NCR flag</x:v>
      </x:c>
      <x:c r="L22" s="176" t="str">
        <x:v>Weld operation is completed</x:v>
      </x:c>
      <x:c r="M22" s="176" t="str">
        <x:v>Operation completion update</x:v>
      </x:c>
      <x:c r="N22" s="176" t="str">
        <x:v>Notional Current</x:v>
      </x:c>
      <x:c r="O22" s="176" t="str">
        <x:v>Welding / Finishing</x:v>
      </x:c>
      <x:c r="P22" s="176" t="str">
        <x:v>Per operation</x:v>
      </x:c>
      <x:c r="Q22" s="176" t="str">
        <x:v>Source to target</x:v>
      </x:c>
      <x:c r="R22" s="176" t="str">
        <x:v>df_conn_021</x:v>
      </x:c>
      <x:c r="S22" s="176" t="str">
        <x:v>smoothstep</x:v>
      </x:c>
      <x:c r="T22" s="176" t="str">
        <x:v>#2563EB</x:v>
      </x:c>
      <x:c r="U22" s="176" t="str">
        <x:v>solid</x:v>
      </x:c>
      <x:c r="V22" s="178" t="n">
        <x:v>2</x:v>
      </x:c>
      <x:c r="W22" s="186" t="b">
        <x:v>0</x:v>
      </x:c>
      <x:c r="X22" s="24" t="str">
        <x:v>Notional connection for React data-flow overlay; validate with process owners.</x:v>
      </x:c>
    </x:row>
    <x:row r="23">
      <x:c r="A23" s="23" t="str">
        <x:v>conn_022</x:v>
      </x:c>
      <x:c r="B23" s="176" t="str">
        <x:v>laser_waterjet</x:v>
      </x:c>
      <x:c r="C23" s="176" t="str">
        <x:v>engineering_production_planning</x:v>
      </x:c>
      <x:c r="D23" s="176" t="str">
        <x:v>Laser &amp; Waterjet</x:v>
      </x:c>
      <x:c r="E23" s="176" t="str">
        <x:v>Engineering &amp; Production Planning</x:v>
      </x:c>
      <x:c r="F23" s="176" t="str">
        <x:v>Manufacturing</x:v>
      </x:c>
      <x:c r="G23" s="176" t="str">
        <x:v>Engineering &amp; Planning</x:v>
      </x:c>
      <x:c r="H23" s="176" t="str">
        <x:v>Cut Schedule and Remnant Tracker</x:v>
      </x:c>
      <x:c r="I23" s="176" t="str">
        <x:v>Spreadsheet/Tracker</x:v>
      </x:c>
      <x:c r="J23" s="176" t="str">
        <x:v>Material utilization feedback</x:v>
      </x:c>
      <x:c r="K23" s="176" t="str">
        <x:v>Remnant data, scrap percentage, nest notes, repeat-job improvement notes</x:v>
      </x:c>
      <x:c r="L23" s="176" t="str">
        <x:v>Cut operation is completed</x:v>
      </x:c>
      <x:c r="M23" s="176" t="str">
        <x:v>Tracker update for future planning</x:v>
      </x:c>
      <x:c r="N23" s="176" t="str">
        <x:v>Notional Current</x:v>
      </x:c>
      <x:c r="O23" s="176" t="str">
        <x:v>Laser-Waterjet / Engineering</x:v>
      </x:c>
      <x:c r="P23" s="176" t="str">
        <x:v>Weekly / per job family</x:v>
      </x:c>
      <x:c r="Q23" s="176" t="str">
        <x:v>Source to target</x:v>
      </x:c>
      <x:c r="R23" s="176" t="str">
        <x:v>df_conn_022</x:v>
      </x:c>
      <x:c r="S23" s="176" t="str">
        <x:v>smoothstep</x:v>
      </x:c>
      <x:c r="T23" s="176" t="str">
        <x:v>#EA580C</x:v>
      </x:c>
      <x:c r="U23" s="176" t="str">
        <x:v>dash</x:v>
      </x:c>
      <x:c r="V23" s="178" t="n">
        <x:v>2</x:v>
      </x:c>
      <x:c r="W23" s="186" t="b">
        <x:v>0</x:v>
      </x:c>
      <x:c r="X23" s="24" t="str">
        <x:v>Notional connection for React data-flow overlay; validate with process owners.</x:v>
      </x:c>
    </x:row>
    <x:row r="24">
      <x:c r="A24" s="23" t="str">
        <x:v>conn_023</x:v>
      </x:c>
      <x:c r="B24" s="176" t="str">
        <x:v>bending</x:v>
      </x:c>
      <x:c r="C24" s="176" t="str">
        <x:v>engineering_production_planning</x:v>
      </x:c>
      <x:c r="D24" s="176" t="str">
        <x:v>Bending</x:v>
      </x:c>
      <x:c r="E24" s="176" t="str">
        <x:v>Engineering &amp; Production Planning</x:v>
      </x:c>
      <x:c r="F24" s="176" t="str">
        <x:v>Manufacturing</x:v>
      </x:c>
      <x:c r="G24" s="176" t="str">
        <x:v>Engineering &amp; Planning</x:v>
      </x:c>
      <x:c r="H24" s="176" t="str">
        <x:v>Bend Setup and Tooling Notes Tracker</x:v>
      </x:c>
      <x:c r="I24" s="176" t="str">
        <x:v>Spreadsheet/Tracker</x:v>
      </x:c>
      <x:c r="J24" s="176" t="str">
        <x:v>Bend setup feedback</x:v>
      </x:c>
      <x:c r="K24" s="176" t="str">
        <x:v>Tooling notes, setup corrections, bend sequence lessons learned</x:v>
      </x:c>
      <x:c r="L24" s="176" t="str">
        <x:v>Bend operation is completed</x:v>
      </x:c>
      <x:c r="M24" s="176" t="str">
        <x:v>Tracker update for repeat jobs</x:v>
      </x:c>
      <x:c r="N24" s="176" t="str">
        <x:v>Notional Current</x:v>
      </x:c>
      <x:c r="O24" s="176" t="str">
        <x:v>Bending / Engineering</x:v>
      </x:c>
      <x:c r="P24" s="176" t="str">
        <x:v>Weekly / repeat jobs</x:v>
      </x:c>
      <x:c r="Q24" s="176" t="str">
        <x:v>Source to target</x:v>
      </x:c>
      <x:c r="R24" s="176" t="str">
        <x:v>df_conn_023</x:v>
      </x:c>
      <x:c r="S24" s="176" t="str">
        <x:v>smoothstep</x:v>
      </x:c>
      <x:c r="T24" s="176" t="str">
        <x:v>#EA580C</x:v>
      </x:c>
      <x:c r="U24" s="176" t="str">
        <x:v>dash</x:v>
      </x:c>
      <x:c r="V24" s="178" t="n">
        <x:v>2</x:v>
      </x:c>
      <x:c r="W24" s="186" t="b">
        <x:v>0</x:v>
      </x:c>
      <x:c r="X24" s="24" t="str">
        <x:v>Notional connection for React data-flow overlay; validate with process owners.</x:v>
      </x:c>
    </x:row>
    <x:row r="25">
      <x:c r="A25" s="23" t="str">
        <x:v>conn_024</x:v>
      </x:c>
      <x:c r="B25" s="176" t="str">
        <x:v>machining</x:v>
      </x:c>
      <x:c r="C25" s="176" t="str">
        <x:v>estimating_quoting</x:v>
      </x:c>
      <x:c r="D25" s="176" t="str">
        <x:v>Machining</x:v>
      </x:c>
      <x:c r="E25" s="176" t="str">
        <x:v>Estimating &amp; Quoting</x:v>
      </x:c>
      <x:c r="F25" s="176" t="str">
        <x:v>Manufacturing</x:v>
      </x:c>
      <x:c r="G25" s="176" t="str">
        <x:v>Sales &amp; Quoting</x:v>
      </x:c>
      <x:c r="H25" s="176" t="str">
        <x:v>Tooling and Cycle-Time Tracker</x:v>
      </x:c>
      <x:c r="I25" s="176" t="str">
        <x:v>Spreadsheet/Tracker</x:v>
      </x:c>
      <x:c r="J25" s="176" t="str">
        <x:v>Actual cycle-time feedback</x:v>
      </x:c>
      <x:c r="K25" s="176" t="str">
        <x:v>Setup time, cycle time, tooling notes, variance to estimate</x:v>
      </x:c>
      <x:c r="L25" s="176" t="str">
        <x:v>Machining operation is completed</x:v>
      </x:c>
      <x:c r="M25" s="176" t="str">
        <x:v>Tracker update for estimating history</x:v>
      </x:c>
      <x:c r="N25" s="176" t="str">
        <x:v>Notional Current</x:v>
      </x:c>
      <x:c r="O25" s="176" t="str">
        <x:v>Machining / Estimating</x:v>
      </x:c>
      <x:c r="P25" s="176" t="str">
        <x:v>Weekly / repeat jobs</x:v>
      </x:c>
      <x:c r="Q25" s="176" t="str">
        <x:v>Source to target</x:v>
      </x:c>
      <x:c r="R25" s="176" t="str">
        <x:v>df_conn_024</x:v>
      </x:c>
      <x:c r="S25" s="176" t="str">
        <x:v>smoothstep</x:v>
      </x:c>
      <x:c r="T25" s="176" t="str">
        <x:v>#EA580C</x:v>
      </x:c>
      <x:c r="U25" s="176" t="str">
        <x:v>dash</x:v>
      </x:c>
      <x:c r="V25" s="178" t="n">
        <x:v>2</x:v>
      </x:c>
      <x:c r="W25" s="186" t="b">
        <x:v>0</x:v>
      </x:c>
      <x:c r="X25" s="24" t="str">
        <x:v>Notional connection for React data-flow overlay; validate with process owners.</x:v>
      </x:c>
    </x:row>
    <x:row r="26">
      <x:c r="A26" s="23" t="str">
        <x:v>conn_025</x:v>
      </x:c>
      <x:c r="B26" s="176" t="str">
        <x:v>welding</x:v>
      </x:c>
      <x:c r="C26" s="176" t="str">
        <x:v>final_quality_assurance</x:v>
      </x:c>
      <x:c r="D26" s="176" t="str">
        <x:v>Welding</x:v>
      </x:c>
      <x:c r="E26" s="176" t="str">
        <x:v>Final Quality Assurance</x:v>
      </x:c>
      <x:c r="F26" s="176" t="str">
        <x:v>Manufacturing</x:v>
      </x:c>
      <x:c r="G26" s="176" t="str">
        <x:v>Quality Assurance</x:v>
      </x:c>
      <x:c r="H26" s="176" t="str">
        <x:v>UniPoint QMS</x:v>
      </x:c>
      <x:c r="I26" s="176" t="str">
        <x:v>QMS / Compliance</x:v>
      </x:c>
      <x:c r="J26" s="176" t="str">
        <x:v>Weld documentation to quality</x:v>
      </x:c>
      <x:c r="K26" s="176" t="str">
        <x:v>WPS/WPQ records, weld inspection notes, rework/NCR flags</x:v>
      </x:c>
      <x:c r="L26" s="176" t="str">
        <x:v>Weld inspection or hold is recorded</x:v>
      </x:c>
      <x:c r="M26" s="176" t="str">
        <x:v>Quality record update</x:v>
      </x:c>
      <x:c r="N26" s="176" t="str">
        <x:v>Notional Current</x:v>
      </x:c>
      <x:c r="O26" s="176" t="str">
        <x:v>Welding / Quality</x:v>
      </x:c>
      <x:c r="P26" s="176" t="str">
        <x:v>Per controlled weld</x:v>
      </x:c>
      <x:c r="Q26" s="176" t="str">
        <x:v>Source to target</x:v>
      </x:c>
      <x:c r="R26" s="176" t="str">
        <x:v>df_conn_025</x:v>
      </x:c>
      <x:c r="S26" s="176" t="str">
        <x:v>smoothstep</x:v>
      </x:c>
      <x:c r="T26" s="176" t="str">
        <x:v>#DC2626</x:v>
      </x:c>
      <x:c r="U26" s="176" t="str">
        <x:v>solid</x:v>
      </x:c>
      <x:c r="V26" s="178" t="n">
        <x:v>2</x:v>
      </x:c>
      <x:c r="W26" s="186" t="b">
        <x:v>0</x:v>
      </x:c>
      <x:c r="X26" s="24" t="str">
        <x:v>Notional connection for React data-flow overlay; validate with process owners.</x:v>
      </x:c>
    </x:row>
    <x:row r="27">
      <x:c r="A27" s="23" t="str">
        <x:v>conn_026</x:v>
      </x:c>
      <x:c r="B27" s="176" t="str">
        <x:v>grinding_finishing</x:v>
      </x:c>
      <x:c r="C27" s="176" t="str">
        <x:v>coatings</x:v>
      </x:c>
      <x:c r="D27" s="176" t="str">
        <x:v>Grinding &amp; Finishing</x:v>
      </x:c>
      <x:c r="E27" s="176" t="str">
        <x:v>Coatings</x:v>
      </x:c>
      <x:c r="F27" s="176" t="str">
        <x:v>Finishing &amp; Special Processes</x:v>
      </x:c>
      <x:c r="G27" s="176" t="str">
        <x:v>Finishing &amp; Special Processes</x:v>
      </x:c>
      <x:c r="H27" s="176" t="str">
        <x:v>JobBoss2</x:v>
      </x:c>
      <x:c r="I27" s="176" t="str">
        <x:v>ERP/MRP System</x:v>
      </x:c>
      <x:c r="J27" s="176" t="str">
        <x:v>Finish readiness for coating</x:v>
      </x:c>
      <x:c r="K27" s="176" t="str">
        <x:v>Finish completion, coating requirement, outside/internal route, due date</x:v>
      </x:c>
      <x:c r="L27" s="176" t="str">
        <x:v>Finish operation is completed</x:v>
      </x:c>
      <x:c r="M27" s="176" t="str">
        <x:v>Operation status update</x:v>
      </x:c>
      <x:c r="N27" s="176" t="str">
        <x:v>Notional Current</x:v>
      </x:c>
      <x:c r="O27" s="176" t="str">
        <x:v>Finishing / Coatings</x:v>
      </x:c>
      <x:c r="P27" s="176" t="str">
        <x:v>Per operation</x:v>
      </x:c>
      <x:c r="Q27" s="176" t="str">
        <x:v>Source to target</x:v>
      </x:c>
      <x:c r="R27" s="176" t="str">
        <x:v>df_conn_026</x:v>
      </x:c>
      <x:c r="S27" s="176" t="str">
        <x:v>smoothstep</x:v>
      </x:c>
      <x:c r="T27" s="176" t="str">
        <x:v>#2563EB</x:v>
      </x:c>
      <x:c r="U27" s="176" t="str">
        <x:v>solid</x:v>
      </x:c>
      <x:c r="V27" s="178" t="n">
        <x:v>2</x:v>
      </x:c>
      <x:c r="W27" s="186" t="b">
        <x:v>0</x:v>
      </x:c>
      <x:c r="X27" s="24" t="str">
        <x:v>Notional connection for React data-flow overlay; validate with process owners.</x:v>
      </x:c>
    </x:row>
    <x:row r="28">
      <x:c r="A28" s="23" t="str">
        <x:v>conn_027</x:v>
      </x:c>
      <x:c r="B28" s="176" t="str">
        <x:v>purchasing_supplier_management</x:v>
      </x:c>
      <x:c r="C28" s="176" t="str">
        <x:v>coatings</x:v>
      </x:c>
      <x:c r="D28" s="176" t="str">
        <x:v>Purchasing &amp; Supplier Management</x:v>
      </x:c>
      <x:c r="E28" s="176" t="str">
        <x:v>Coatings</x:v>
      </x:c>
      <x:c r="F28" s="176" t="str">
        <x:v>Supply Chain</x:v>
      </x:c>
      <x:c r="G28" s="176" t="str">
        <x:v>Finishing &amp; Special Processes</x:v>
      </x:c>
      <x:c r="H28" s="176" t="str">
        <x:v>JobBoss2</x:v>
      </x:c>
      <x:c r="I28" s="176" t="str">
        <x:v>ERP/MRP System</x:v>
      </x:c>
      <x:c r="J28" s="176" t="str">
        <x:v>Outside-process PO to coating</x:v>
      </x:c>
      <x:c r="K28" s="176" t="str">
        <x:v>Outside-process PO, supplier, coating specification, promised date</x:v>
      </x:c>
      <x:c r="L28" s="176" t="str">
        <x:v>Coating is sent outside or scheduled</x:v>
      </x:c>
      <x:c r="M28" s="176" t="str">
        <x:v>Outside process status</x:v>
      </x:c>
      <x:c r="N28" s="176" t="str">
        <x:v>Notional Current</x:v>
      </x:c>
      <x:c r="O28" s="176" t="str">
        <x:v>Purchasing / Coatings</x:v>
      </x:c>
      <x:c r="P28" s="176" t="str">
        <x:v>Per outside process</x:v>
      </x:c>
      <x:c r="Q28" s="176" t="str">
        <x:v>Source to target</x:v>
      </x:c>
      <x:c r="R28" s="176" t="str">
        <x:v>df_conn_027</x:v>
      </x:c>
      <x:c r="S28" s="176" t="str">
        <x:v>smoothstep</x:v>
      </x:c>
      <x:c r="T28" s="176" t="str">
        <x:v>#2563EB</x:v>
      </x:c>
      <x:c r="U28" s="176" t="str">
        <x:v>solid</x:v>
      </x:c>
      <x:c r="V28" s="178" t="n">
        <x:v>2</x:v>
      </x:c>
      <x:c r="W28" s="186" t="b">
        <x:v>0</x:v>
      </x:c>
      <x:c r="X28" s="24" t="str">
        <x:v>Notional connection for React data-flow overlay; validate with process owners.</x:v>
      </x:c>
    </x:row>
    <x:row r="29">
      <x:c r="A29" s="23" t="str">
        <x:v>conn_028</x:v>
      </x:c>
      <x:c r="B29" s="176" t="str">
        <x:v>coatings</x:v>
      </x:c>
      <x:c r="C29" s="176" t="str">
        <x:v>final_quality_assurance</x:v>
      </x:c>
      <x:c r="D29" s="176" t="str">
        <x:v>Coatings</x:v>
      </x:c>
      <x:c r="E29" s="176" t="str">
        <x:v>Final Quality Assurance</x:v>
      </x:c>
      <x:c r="F29" s="176" t="str">
        <x:v>Finishing &amp; Special Processes</x:v>
      </x:c>
      <x:c r="G29" s="176" t="str">
        <x:v>Quality Assurance</x:v>
      </x:c>
      <x:c r="H29" s="176" t="str">
        <x:v>UniPoint QMS</x:v>
      </x:c>
      <x:c r="I29" s="176" t="str">
        <x:v>QMS / Compliance</x:v>
      </x:c>
      <x:c r="J29" s="176" t="str">
        <x:v>Coating cert to quality</x:v>
      </x:c>
      <x:c r="K29" s="176" t="str">
        <x:v>Coating certificate, inspection results, spec compliance, discrepancy flags</x:v>
      </x:c>
      <x:c r="L29" s="176" t="str">
        <x:v>Coated parts return or coating is completed</x:v>
      </x:c>
      <x:c r="M29" s="176" t="str">
        <x:v>Quality cert record update</x:v>
      </x:c>
      <x:c r="N29" s="176" t="str">
        <x:v>Notional Current</x:v>
      </x:c>
      <x:c r="O29" s="176" t="str">
        <x:v>Coatings / Quality</x:v>
      </x:c>
      <x:c r="P29" s="176" t="str">
        <x:v>Per coated batch</x:v>
      </x:c>
      <x:c r="Q29" s="176" t="str">
        <x:v>Source to target</x:v>
      </x:c>
      <x:c r="R29" s="176" t="str">
        <x:v>df_conn_028</x:v>
      </x:c>
      <x:c r="S29" s="176" t="str">
        <x:v>smoothstep</x:v>
      </x:c>
      <x:c r="T29" s="176" t="str">
        <x:v>#DC2626</x:v>
      </x:c>
      <x:c r="U29" s="176" t="str">
        <x:v>solid</x:v>
      </x:c>
      <x:c r="V29" s="178" t="n">
        <x:v>2</x:v>
      </x:c>
      <x:c r="W29" s="186" t="b">
        <x:v>0</x:v>
      </x:c>
      <x:c r="X29" s="24" t="str">
        <x:v>Notional connection for React data-flow overlay; validate with process owners.</x:v>
      </x:c>
    </x:row>
    <x:row r="30">
      <x:c r="A30" s="23" t="str">
        <x:v>conn_029</x:v>
      </x:c>
      <x:c r="B30" s="176" t="str">
        <x:v>coatings</x:v>
      </x:c>
      <x:c r="C30" s="176" t="str">
        <x:v>marking</x:v>
      </x:c>
      <x:c r="D30" s="176" t="str">
        <x:v>Coatings</x:v>
      </x:c>
      <x:c r="E30" s="176" t="str">
        <x:v>Marking</x:v>
      </x:c>
      <x:c r="F30" s="176" t="str">
        <x:v>Finishing &amp; Special Processes</x:v>
      </x:c>
      <x:c r="G30" s="176" t="str">
        <x:v>Finishing &amp; Special Processes</x:v>
      </x:c>
      <x:c r="H30" s="176" t="str">
        <x:v>JobBoss2</x:v>
      </x:c>
      <x:c r="I30" s="176" t="str">
        <x:v>ERP/MRP System</x:v>
      </x:c>
      <x:c r="J30" s="176" t="str">
        <x:v>Coating completion to marking</x:v>
      </x:c>
      <x:c r="K30" s="176" t="str">
        <x:v>Coating completion, part status, serialization/marking readiness</x:v>
      </x:c>
      <x:c r="L30" s="176" t="str">
        <x:v>Coating is accepted</x:v>
      </x:c>
      <x:c r="M30" s="176" t="str">
        <x:v>Operation status update</x:v>
      </x:c>
      <x:c r="N30" s="176" t="str">
        <x:v>Notional Current</x:v>
      </x:c>
      <x:c r="O30" s="176" t="str">
        <x:v>Coatings / Marking</x:v>
      </x:c>
      <x:c r="P30" s="176" t="str">
        <x:v>Per operation</x:v>
      </x:c>
      <x:c r="Q30" s="176" t="str">
        <x:v>Source to target</x:v>
      </x:c>
      <x:c r="R30" s="176" t="str">
        <x:v>df_conn_029</x:v>
      </x:c>
      <x:c r="S30" s="176" t="str">
        <x:v>smoothstep</x:v>
      </x:c>
      <x:c r="T30" s="176" t="str">
        <x:v>#2563EB</x:v>
      </x:c>
      <x:c r="U30" s="176" t="str">
        <x:v>solid</x:v>
      </x:c>
      <x:c r="V30" s="178" t="n">
        <x:v>2</x:v>
      </x:c>
      <x:c r="W30" s="186" t="b">
        <x:v>0</x:v>
      </x:c>
      <x:c r="X30" s="24" t="str">
        <x:v>Notional connection for React data-flow overlay; validate with process owners.</x:v>
      </x:c>
    </x:row>
    <x:row r="31">
      <x:c r="A31" s="23" t="str">
        <x:v>conn_030</x:v>
      </x:c>
      <x:c r="B31" s="176" t="str">
        <x:v>engineering_production_planning</x:v>
      </x:c>
      <x:c r="C31" s="176" t="str">
        <x:v>marking</x:v>
      </x:c>
      <x:c r="D31" s="176" t="str">
        <x:v>Engineering &amp; Production Planning</x:v>
      </x:c>
      <x:c r="E31" s="176" t="str">
        <x:v>Marking</x:v>
      </x:c>
      <x:c r="F31" s="176" t="str">
        <x:v>Engineering &amp; Planning</x:v>
      </x:c>
      <x:c r="G31" s="176" t="str">
        <x:v>Finishing &amp; Special Processes</x:v>
      </x:c>
      <x:c r="H31" s="176" t="str">
        <x:v>Bartender label software and laser marking controller</x:v>
      </x:c>
      <x:c r="I31" s="176" t="str">
        <x:v>Department Software</x:v>
      </x:c>
      <x:c r="J31" s="176" t="str">
        <x:v>Marking requirement release</x:v>
      </x:c>
      <x:c r="K31" s="176" t="str">
        <x:v>Label templates, serial format, drawing notes, artwork, placement requirement</x:v>
      </x:c>
      <x:c r="L31" s="176" t="str">
        <x:v>Engineering releases marking requirements</x:v>
      </x:c>
      <x:c r="M31" s="176" t="str">
        <x:v>Template/artwork transfer</x:v>
      </x:c>
      <x:c r="N31" s="176" t="str">
        <x:v>Notional Current</x:v>
      </x:c>
      <x:c r="O31" s="176" t="str">
        <x:v>Engineering / Marking</x:v>
      </x:c>
      <x:c r="P31" s="176" t="str">
        <x:v>Per marked job</x:v>
      </x:c>
      <x:c r="Q31" s="176" t="str">
        <x:v>Source to target</x:v>
      </x:c>
      <x:c r="R31" s="176" t="str">
        <x:v>df_conn_030</x:v>
      </x:c>
      <x:c r="S31" s="176" t="str">
        <x:v>smoothstep</x:v>
      </x:c>
      <x:c r="T31" s="176" t="str">
        <x:v>#7C3AED</x:v>
      </x:c>
      <x:c r="U31" s="176" t="str">
        <x:v>solid</x:v>
      </x:c>
      <x:c r="V31" s="178" t="n">
        <x:v>2</x:v>
      </x:c>
      <x:c r="W31" s="186" t="b">
        <x:v>0</x:v>
      </x:c>
      <x:c r="X31" s="24" t="str">
        <x:v>Notional connection for React data-flow overlay; validate with process owners.</x:v>
      </x:c>
    </x:row>
    <x:row r="32">
      <x:c r="A32" s="23" t="str">
        <x:v>conn_031</x:v>
      </x:c>
      <x:c r="B32" s="176" t="str">
        <x:v>marking</x:v>
      </x:c>
      <x:c r="C32" s="176" t="str">
        <x:v>final_quality_assurance</x:v>
      </x:c>
      <x:c r="D32" s="176" t="str">
        <x:v>Marking</x:v>
      </x:c>
      <x:c r="E32" s="176" t="str">
        <x:v>Final Quality Assurance</x:v>
      </x:c>
      <x:c r="F32" s="176" t="str">
        <x:v>Finishing &amp; Special Processes</x:v>
      </x:c>
      <x:c r="G32" s="176" t="str">
        <x:v>Quality Assurance</x:v>
      </x:c>
      <x:c r="H32" s="176" t="str">
        <x:v>UniPoint QMS</x:v>
      </x:c>
      <x:c r="I32" s="176" t="str">
        <x:v>QMS / Compliance</x:v>
      </x:c>
      <x:c r="J32" s="176" t="str">
        <x:v>Marking verification to quality</x:v>
      </x:c>
      <x:c r="K32" s="176" t="str">
        <x:v>Serial/label verification, artwork revision, exception status</x:v>
      </x:c>
      <x:c r="L32" s="176" t="str">
        <x:v>Marking is completed</x:v>
      </x:c>
      <x:c r="M32" s="176" t="str">
        <x:v>Quality record update</x:v>
      </x:c>
      <x:c r="N32" s="176" t="str">
        <x:v>Notional Current</x:v>
      </x:c>
      <x:c r="O32" s="176" t="str">
        <x:v>Marking / Quality</x:v>
      </x:c>
      <x:c r="P32" s="176" t="str">
        <x:v>Per marked batch</x:v>
      </x:c>
      <x:c r="Q32" s="176" t="str">
        <x:v>Source to target</x:v>
      </x:c>
      <x:c r="R32" s="176" t="str">
        <x:v>df_conn_031</x:v>
      </x:c>
      <x:c r="S32" s="176" t="str">
        <x:v>smoothstep</x:v>
      </x:c>
      <x:c r="T32" s="176" t="str">
        <x:v>#DC2626</x:v>
      </x:c>
      <x:c r="U32" s="176" t="str">
        <x:v>solid</x:v>
      </x:c>
      <x:c r="V32" s="178" t="n">
        <x:v>2</x:v>
      </x:c>
      <x:c r="W32" s="186" t="b">
        <x:v>0</x:v>
      </x:c>
      <x:c r="X32" s="24" t="str">
        <x:v>Notional connection for React data-flow overlay; validate with process owners.</x:v>
      </x:c>
    </x:row>
    <x:row r="33">
      <x:c r="A33" s="23" t="str">
        <x:v>conn_032</x:v>
      </x:c>
      <x:c r="B33" s="176" t="str">
        <x:v>marking</x:v>
      </x:c>
      <x:c r="C33" s="176" t="str">
        <x:v>assembly</x:v>
      </x:c>
      <x:c r="D33" s="176" t="str">
        <x:v>Marking</x:v>
      </x:c>
      <x:c r="E33" s="176" t="str">
        <x:v>Assembly</x:v>
      </x:c>
      <x:c r="F33" s="176" t="str">
        <x:v>Finishing &amp; Special Processes</x:v>
      </x:c>
      <x:c r="G33" s="176" t="str">
        <x:v>Assembly &amp; Test</x:v>
      </x:c>
      <x:c r="H33" s="176" t="str">
        <x:v>JobBoss2</x:v>
      </x:c>
      <x:c r="I33" s="176" t="str">
        <x:v>ERP/MRP System</x:v>
      </x:c>
      <x:c r="J33" s="176" t="str">
        <x:v>Marked parts to assembly</x:v>
      </x:c>
      <x:c r="K33" s="176" t="str">
        <x:v>Marked part status, serial data, kit readiness, traveler status</x:v>
      </x:c>
      <x:c r="L33" s="176" t="str">
        <x:v>Marking is completed</x:v>
      </x:c>
      <x:c r="M33" s="176" t="str">
        <x:v>Operation status update</x:v>
      </x:c>
      <x:c r="N33" s="176" t="str">
        <x:v>Notional Current</x:v>
      </x:c>
      <x:c r="O33" s="176" t="str">
        <x:v>Marking / Assembly</x:v>
      </x:c>
      <x:c r="P33" s="176" t="str">
        <x:v>Per operation</x:v>
      </x:c>
      <x:c r="Q33" s="176" t="str">
        <x:v>Source to target</x:v>
      </x:c>
      <x:c r="R33" s="176" t="str">
        <x:v>df_conn_032</x:v>
      </x:c>
      <x:c r="S33" s="176" t="str">
        <x:v>smoothstep</x:v>
      </x:c>
      <x:c r="T33" s="176" t="str">
        <x:v>#2563EB</x:v>
      </x:c>
      <x:c r="U33" s="176" t="str">
        <x:v>solid</x:v>
      </x:c>
      <x:c r="V33" s="178" t="n">
        <x:v>2</x:v>
      </x:c>
      <x:c r="W33" s="186" t="b">
        <x:v>0</x:v>
      </x:c>
      <x:c r="X33" s="24" t="str">
        <x:v>Notional connection for React data-flow overlay; validate with process owners.</x:v>
      </x:c>
    </x:row>
    <x:row r="34">
      <x:c r="A34" s="23" t="str">
        <x:v>conn_033</x:v>
      </x:c>
      <x:c r="B34" s="176" t="str">
        <x:v>engineering_production_planning</x:v>
      </x:c>
      <x:c r="C34" s="176" t="str">
        <x:v>assembly</x:v>
      </x:c>
      <x:c r="D34" s="176" t="str">
        <x:v>Engineering &amp; Production Planning</x:v>
      </x:c>
      <x:c r="E34" s="176" t="str">
        <x:v>Assembly</x:v>
      </x:c>
      <x:c r="F34" s="176" t="str">
        <x:v>Engineering &amp; Planning</x:v>
      </x:c>
      <x:c r="G34" s="176" t="str">
        <x:v>Assembly &amp; Test</x:v>
      </x:c>
      <x:c r="H34" s="176" t="str">
        <x:v>Digital Work Instructions / Kitting App</x:v>
      </x:c>
      <x:c r="I34" s="176" t="str">
        <x:v>Department Software</x:v>
      </x:c>
      <x:c r="J34" s="176" t="str">
        <x:v>Assembly instruction release</x:v>
      </x:c>
      <x:c r="K34" s="176" t="str">
        <x:v>Work instructions, kit list, photos, torque/spec checks, drawings</x:v>
      </x:c>
      <x:c r="L34" s="176" t="str">
        <x:v>Engineering releases assembly package</x:v>
      </x:c>
      <x:c r="M34" s="176" t="str">
        <x:v>Guided work instruction sync</x:v>
      </x:c>
      <x:c r="N34" s="176" t="str">
        <x:v>Notional Current</x:v>
      </x:c>
      <x:c r="O34" s="176" t="str">
        <x:v>Engineering / Assembly</x:v>
      </x:c>
      <x:c r="P34" s="176" t="str">
        <x:v>Per assembly job</x:v>
      </x:c>
      <x:c r="Q34" s="176" t="str">
        <x:v>Source to target</x:v>
      </x:c>
      <x:c r="R34" s="176" t="str">
        <x:v>df_conn_033</x:v>
      </x:c>
      <x:c r="S34" s="176" t="str">
        <x:v>smoothstep</x:v>
      </x:c>
      <x:c r="T34" s="176" t="str">
        <x:v>#7C3AED</x:v>
      </x:c>
      <x:c r="U34" s="176" t="str">
        <x:v>solid</x:v>
      </x:c>
      <x:c r="V34" s="178" t="n">
        <x:v>2</x:v>
      </x:c>
      <x:c r="W34" s="186" t="b">
        <x:v>0</x:v>
      </x:c>
      <x:c r="X34" s="24" t="str">
        <x:v>Notional connection for React data-flow overlay; validate with process owners.</x:v>
      </x:c>
    </x:row>
    <x:row r="35">
      <x:c r="A35" s="23" t="str">
        <x:v>conn_034</x:v>
      </x:c>
      <x:c r="B35" s="176" t="str">
        <x:v>assembly</x:v>
      </x:c>
      <x:c r="C35" s="176" t="str">
        <x:v>purchasing_supplier_management</x:v>
      </x:c>
      <x:c r="D35" s="176" t="str">
        <x:v>Assembly</x:v>
      </x:c>
      <x:c r="E35" s="176" t="str">
        <x:v>Purchasing &amp; Supplier Management</x:v>
      </x:c>
      <x:c r="F35" s="176" t="str">
        <x:v>Assembly &amp; Test</x:v>
      </x:c>
      <x:c r="G35" s="176" t="str">
        <x:v>Supply Chain</x:v>
      </x:c>
      <x:c r="H35" s="176" t="str">
        <x:v>Assembly Shortage and Build Issue Tracker</x:v>
      </x:c>
      <x:c r="I35" s="176" t="str">
        <x:v>Spreadsheet/Tracker</x:v>
      </x:c>
      <x:c r="J35" s="176" t="str">
        <x:v>Assembly shortage feedback</x:v>
      </x:c>
      <x:c r="K35" s="176" t="str">
        <x:v>Shortage item, missing hardware, build issue, required date, owner</x:v>
      </x:c>
      <x:c r="L35" s="176" t="str">
        <x:v>Assembly identifies shortage or build issue</x:v>
      </x:c>
      <x:c r="M35" s="176" t="str">
        <x:v>Tracker update and purchasing action</x:v>
      </x:c>
      <x:c r="N35" s="176" t="str">
        <x:v>Notional Current</x:v>
      </x:c>
      <x:c r="O35" s="176" t="str">
        <x:v>Assembly / Purchasing</x:v>
      </x:c>
      <x:c r="P35" s="176" t="str">
        <x:v>As needed</x:v>
      </x:c>
      <x:c r="Q35" s="176" t="str">
        <x:v>Source to target</x:v>
      </x:c>
      <x:c r="R35" s="176" t="str">
        <x:v>df_conn_034</x:v>
      </x:c>
      <x:c r="S35" s="176" t="str">
        <x:v>smoothstep</x:v>
      </x:c>
      <x:c r="T35" s="176" t="str">
        <x:v>#EA580C</x:v>
      </x:c>
      <x:c r="U35" s="176" t="str">
        <x:v>dash</x:v>
      </x:c>
      <x:c r="V35" s="178" t="n">
        <x:v>2</x:v>
      </x:c>
      <x:c r="W35" s="186" t="b">
        <x:v>0</x:v>
      </x:c>
      <x:c r="X35" s="24" t="str">
        <x:v>Notional connection for React data-flow overlay; validate with process owners.</x:v>
      </x:c>
    </x:row>
    <x:row r="36">
      <x:c r="A36" s="23" t="str">
        <x:v>conn_035</x:v>
      </x:c>
      <x:c r="B36" s="176" t="str">
        <x:v>assembly</x:v>
      </x:c>
      <x:c r="C36" s="176" t="str">
        <x:v>testing</x:v>
      </x:c>
      <x:c r="D36" s="176" t="str">
        <x:v>Assembly</x:v>
      </x:c>
      <x:c r="E36" s="176" t="str">
        <x:v>Testing</x:v>
      </x:c>
      <x:c r="F36" s="176" t="str">
        <x:v>Assembly &amp; Test</x:v>
      </x:c>
      <x:c r="G36" s="176" t="str">
        <x:v>Assembly &amp; Test</x:v>
      </x:c>
      <x:c r="H36" s="176" t="str">
        <x:v>JobBoss2</x:v>
      </x:c>
      <x:c r="I36" s="176" t="str">
        <x:v>ERP/MRP System</x:v>
      </x:c>
      <x:c r="J36" s="176" t="str">
        <x:v>Build completion to test</x:v>
      </x:c>
      <x:c r="K36" s="176" t="str">
        <x:v>Assembly completion, shortage closure, build record, test-ready status</x:v>
      </x:c>
      <x:c r="L36" s="176" t="str">
        <x:v>Assembly operation is completed</x:v>
      </x:c>
      <x:c r="M36" s="176" t="str">
        <x:v>Operation status update</x:v>
      </x:c>
      <x:c r="N36" s="176" t="str">
        <x:v>Notional Current</x:v>
      </x:c>
      <x:c r="O36" s="176" t="str">
        <x:v>Assembly / Test</x:v>
      </x:c>
      <x:c r="P36" s="176" t="str">
        <x:v>Per assembly</x:v>
      </x:c>
      <x:c r="Q36" s="176" t="str">
        <x:v>Source to target</x:v>
      </x:c>
      <x:c r="R36" s="176" t="str">
        <x:v>df_conn_035</x:v>
      </x:c>
      <x:c r="S36" s="176" t="str">
        <x:v>smoothstep</x:v>
      </x:c>
      <x:c r="T36" s="176" t="str">
        <x:v>#2563EB</x:v>
      </x:c>
      <x:c r="U36" s="176" t="str">
        <x:v>solid</x:v>
      </x:c>
      <x:c r="V36" s="178" t="n">
        <x:v>2</x:v>
      </x:c>
      <x:c r="W36" s="186" t="b">
        <x:v>0</x:v>
      </x:c>
      <x:c r="X36" s="24" t="str">
        <x:v>Notional connection for React data-flow overlay; validate with process owners.</x:v>
      </x:c>
    </x:row>
    <x:row r="37">
      <x:c r="A37" s="23" t="str">
        <x:v>conn_036</x:v>
      </x:c>
      <x:c r="B37" s="176" t="str">
        <x:v>testing</x:v>
      </x:c>
      <x:c r="C37" s="176" t="str">
        <x:v>final_quality_assurance</x:v>
      </x:c>
      <x:c r="D37" s="176" t="str">
        <x:v>Testing</x:v>
      </x:c>
      <x:c r="E37" s="176" t="str">
        <x:v>Final Quality Assurance</x:v>
      </x:c>
      <x:c r="F37" s="176" t="str">
        <x:v>Assembly &amp; Test</x:v>
      </x:c>
      <x:c r="G37" s="176" t="str">
        <x:v>Quality Assurance</x:v>
      </x:c>
      <x:c r="H37" s="176" t="str">
        <x:v>LabVIEW/test bench software and calibration database</x:v>
      </x:c>
      <x:c r="I37" s="176" t="str">
        <x:v>Department Software</x:v>
      </x:c>
      <x:c r="J37" s="176" t="str">
        <x:v>Test results to final quality</x:v>
      </x:c>
      <x:c r="K37" s="176" t="str">
        <x:v>Measurements, limits, pass/fail, equipment, calibration status, report</x:v>
      </x:c>
      <x:c r="L37" s="176" t="str">
        <x:v>Test is run</x:v>
      </x:c>
      <x:c r="M37" s="176" t="str">
        <x:v>Test data/report transfer</x:v>
      </x:c>
      <x:c r="N37" s="176" t="str">
        <x:v>Notional Current</x:v>
      </x:c>
      <x:c r="O37" s="176" t="str">
        <x:v>Testing / Quality</x:v>
      </x:c>
      <x:c r="P37" s="176" t="str">
        <x:v>Per test</x:v>
      </x:c>
      <x:c r="Q37" s="176" t="str">
        <x:v>Source to target</x:v>
      </x:c>
      <x:c r="R37" s="176" t="str">
        <x:v>df_conn_036</x:v>
      </x:c>
      <x:c r="S37" s="176" t="str">
        <x:v>smoothstep</x:v>
      </x:c>
      <x:c r="T37" s="176" t="str">
        <x:v>#7C3AED</x:v>
      </x:c>
      <x:c r="U37" s="176" t="str">
        <x:v>solid</x:v>
      </x:c>
      <x:c r="V37" s="178" t="n">
        <x:v>2</x:v>
      </x:c>
      <x:c r="W37" s="186" t="b">
        <x:v>0</x:v>
      </x:c>
      <x:c r="X37" s="24" t="str">
        <x:v>Notional connection for React data-flow overlay; validate with process owners.</x:v>
      </x:c>
    </x:row>
    <x:row r="38">
      <x:c r="A38" s="23" t="str">
        <x:v>conn_037</x:v>
      </x:c>
      <x:c r="B38" s="176" t="str">
        <x:v>testing</x:v>
      </x:c>
      <x:c r="C38" s="176" t="str">
        <x:v>final_quality_assurance</x:v>
      </x:c>
      <x:c r="D38" s="176" t="str">
        <x:v>Testing</x:v>
      </x:c>
      <x:c r="E38" s="176" t="str">
        <x:v>Final Quality Assurance</x:v>
      </x:c>
      <x:c r="F38" s="176" t="str">
        <x:v>Assembly &amp; Test</x:v>
      </x:c>
      <x:c r="G38" s="176" t="str">
        <x:v>Quality Assurance</x:v>
      </x:c>
      <x:c r="H38" s="176" t="str">
        <x:v>AI test-result anomaly and report generator</x:v>
      </x:c>
      <x:c r="I38" s="176" t="str">
        <x:v>AI/Automation</x:v>
      </x:c>
      <x:c r="J38" s="176" t="str">
        <x:v>Test anomaly alert</x:v>
      </x:c>
      <x:c r="K38" s="176" t="str">
        <x:v>Outliers, pass/fail concerns, draft report narrative, retest suggestion</x:v>
      </x:c>
      <x:c r="L38" s="176" t="str">
        <x:v>Test data is recorded</x:v>
      </x:c>
      <x:c r="M38" s="176" t="str">
        <x:v>AI flags anomalies for quality review</x:v>
      </x:c>
      <x:c r="N38" s="176" t="str">
        <x:v>Notional Proposed</x:v>
      </x:c>
      <x:c r="O38" s="176" t="str">
        <x:v>Testing / Quality</x:v>
      </x:c>
      <x:c r="P38" s="176" t="str">
        <x:v>Per test</x:v>
      </x:c>
      <x:c r="Q38" s="176" t="str">
        <x:v>Source to target</x:v>
      </x:c>
      <x:c r="R38" s="176" t="str">
        <x:v>df_conn_037</x:v>
      </x:c>
      <x:c r="S38" s="176" t="str">
        <x:v>smoothstep</x:v>
      </x:c>
      <x:c r="T38" s="176" t="str">
        <x:v>#047857</x:v>
      </x:c>
      <x:c r="U38" s="176" t="str">
        <x:v>dot</x:v>
      </x:c>
      <x:c r="V38" s="178" t="n">
        <x:v>3</x:v>
      </x:c>
      <x:c r="W38" s="186" t="b">
        <x:v>1</x:v>
      </x:c>
      <x:c r="X38" s="24" t="str">
        <x:v>Notional connection for React data-flow overlay; validate with process owners.</x:v>
      </x:c>
    </x:row>
    <x:row r="39">
      <x:c r="A39" s="23" t="str">
        <x:v>conn_038</x:v>
      </x:c>
      <x:c r="B39" s="176" t="str">
        <x:v>final_quality_assurance</x:v>
      </x:c>
      <x:c r="C39" s="176" t="str">
        <x:v>shipping_customer_delivery</x:v>
      </x:c>
      <x:c r="D39" s="176" t="str">
        <x:v>Final Quality Assurance</x:v>
      </x:c>
      <x:c r="E39" s="176" t="str">
        <x:v>Shipping &amp; Customer Delivery</x:v>
      </x:c>
      <x:c r="F39" s="176" t="str">
        <x:v>Quality Assurance</x:v>
      </x:c>
      <x:c r="G39" s="176" t="str">
        <x:v>Shipping</x:v>
      </x:c>
      <x:c r="H39" s="176" t="str">
        <x:v>JobBoss2</x:v>
      </x:c>
      <x:c r="I39" s="176" t="str">
        <x:v>ERP/MRP System</x:v>
      </x:c>
      <x:c r="J39" s="176" t="str">
        <x:v>Final release to shipping</x:v>
      </x:c>
      <x:c r="K39" s="176" t="str">
        <x:v>Release status, cert packet complete flag, shipment hold/release, invoice trigger</x:v>
      </x:c>
      <x:c r="L39" s="176" t="str">
        <x:v>Final QA accepts product</x:v>
      </x:c>
      <x:c r="M39" s="176" t="str">
        <x:v>Shipping release status</x:v>
      </x:c>
      <x:c r="N39" s="176" t="str">
        <x:v>Notional Current</x:v>
      </x:c>
      <x:c r="O39" s="176" t="str">
        <x:v>Quality / Shipping</x:v>
      </x:c>
      <x:c r="P39" s="176" t="str">
        <x:v>Per shipment</x:v>
      </x:c>
      <x:c r="Q39" s="176" t="str">
        <x:v>Source to target</x:v>
      </x:c>
      <x:c r="R39" s="176" t="str">
        <x:v>df_conn_038</x:v>
      </x:c>
      <x:c r="S39" s="176" t="str">
        <x:v>smoothstep</x:v>
      </x:c>
      <x:c r="T39" s="176" t="str">
        <x:v>#2563EB</x:v>
      </x:c>
      <x:c r="U39" s="176" t="str">
        <x:v>solid</x:v>
      </x:c>
      <x:c r="V39" s="178" t="n">
        <x:v>2</x:v>
      </x:c>
      <x:c r="W39" s="186" t="b">
        <x:v>0</x:v>
      </x:c>
      <x:c r="X39" s="24" t="str">
        <x:v>Notional connection for React data-flow overlay; validate with process owners.</x:v>
      </x:c>
    </x:row>
    <x:row r="40">
      <x:c r="A40" s="23" t="str">
        <x:v>conn_039</x:v>
      </x:c>
      <x:c r="B40" s="176" t="str">
        <x:v>final_quality_assurance</x:v>
      </x:c>
      <x:c r="C40" s="176" t="str">
        <x:v>shipping_customer_delivery</x:v>
      </x:c>
      <x:c r="D40" s="176" t="str">
        <x:v>Final Quality Assurance</x:v>
      </x:c>
      <x:c r="E40" s="176" t="str">
        <x:v>Shipping &amp; Customer Delivery</x:v>
      </x:c>
      <x:c r="F40" s="176" t="str">
        <x:v>Quality Assurance</x:v>
      </x:c>
      <x:c r="G40" s="176" t="str">
        <x:v>Shipping</x:v>
      </x:c>
      <x:c r="H40" s="176" t="str">
        <x:v>UniPoint QMS</x:v>
      </x:c>
      <x:c r="I40" s="176" t="str">
        <x:v>QMS / Compliance</x:v>
      </x:c>
      <x:c r="J40" s="176" t="str">
        <x:v>Cert packet to shipping</x:v>
      </x:c>
      <x:c r="K40" s="176" t="str">
        <x:v>Final inspection approval, cert package, traveler signoff, documentation checklist</x:v>
      </x:c>
      <x:c r="L40" s="176" t="str">
        <x:v>Final documentation is approved</x:v>
      </x:c>
      <x:c r="M40" s="176" t="str">
        <x:v>Document packet release</x:v>
      </x:c>
      <x:c r="N40" s="176" t="str">
        <x:v>Notional Current</x:v>
      </x:c>
      <x:c r="O40" s="176" t="str">
        <x:v>Quality / Shipping</x:v>
      </x:c>
      <x:c r="P40" s="176" t="str">
        <x:v>Per shipment</x:v>
      </x:c>
      <x:c r="Q40" s="176" t="str">
        <x:v>Source to target</x:v>
      </x:c>
      <x:c r="R40" s="176" t="str">
        <x:v>df_conn_039</x:v>
      </x:c>
      <x:c r="S40" s="176" t="str">
        <x:v>smoothstep</x:v>
      </x:c>
      <x:c r="T40" s="176" t="str">
        <x:v>#DC2626</x:v>
      </x:c>
      <x:c r="U40" s="176" t="str">
        <x:v>solid</x:v>
      </x:c>
      <x:c r="V40" s="178" t="n">
        <x:v>2</x:v>
      </x:c>
      <x:c r="W40" s="186" t="b">
        <x:v>0</x:v>
      </x:c>
      <x:c r="X40" s="24" t="str">
        <x:v>Notional connection for React data-flow overlay; validate with process owners.</x:v>
      </x:c>
    </x:row>
    <x:row r="41">
      <x:c r="A41" s="23" t="str">
        <x:v>conn_040</x:v>
      </x:c>
      <x:c r="B41" s="176" t="str">
        <x:v>shipping_customer_delivery</x:v>
      </x:c>
      <x:c r="C41" s="176" t="str">
        <x:v>sales_customer_opportunities</x:v>
      </x:c>
      <x:c r="D41" s="176" t="str">
        <x:v>Shipping &amp; Customer Delivery</x:v>
      </x:c>
      <x:c r="E41" s="176" t="str">
        <x:v>Sales &amp; Customer Opportunities</x:v>
      </x:c>
      <x:c r="F41" s="176" t="str">
        <x:v>Shipping</x:v>
      </x:c>
      <x:c r="G41" s="176" t="str">
        <x:v>Sales &amp; Quoting</x:v>
      </x:c>
      <x:c r="H41" s="176" t="str">
        <x:v>HubSpot CRM and Microsoft Outlook</x:v>
      </x:c>
      <x:c r="I41" s="176" t="str">
        <x:v>Department Software</x:v>
      </x:c>
      <x:c r="J41" s="176" t="str">
        <x:v>Delivery feedback loop</x:v>
      </x:c>
      <x:c r="K41" s="176" t="str">
        <x:v>Tracking number, delivery confirmation, customer notification, follow-up opportunity</x:v>
      </x:c>
      <x:c r="L41" s="176" t="str">
        <x:v>Shipment is sent or delivered</x:v>
      </x:c>
      <x:c r="M41" s="176" t="str">
        <x:v>Customer communication update</x:v>
      </x:c>
      <x:c r="N41" s="176" t="str">
        <x:v>Notional Current</x:v>
      </x:c>
      <x:c r="O41" s="176" t="str">
        <x:v>Shipping / Sales</x:v>
      </x:c>
      <x:c r="P41" s="176" t="str">
        <x:v>Per shipment</x:v>
      </x:c>
      <x:c r="Q41" s="176" t="str">
        <x:v>Source to target</x:v>
      </x:c>
      <x:c r="R41" s="176" t="str">
        <x:v>df_conn_040</x:v>
      </x:c>
      <x:c r="S41" s="176" t="str">
        <x:v>smoothstep</x:v>
      </x:c>
      <x:c r="T41" s="176" t="str">
        <x:v>#7C3AED</x:v>
      </x:c>
      <x:c r="U41" s="176" t="str">
        <x:v>dash</x:v>
      </x:c>
      <x:c r="V41" s="178" t="n">
        <x:v>2</x:v>
      </x:c>
      <x:c r="W41" s="186" t="b">
        <x:v>0</x:v>
      </x:c>
      <x:c r="X41" s="24" t="str">
        <x:v>Notional connection for React data-flow overlay; validate with process owners.</x:v>
      </x:c>
    </x:row>
    <x:row r="42">
      <x:c r="A42" s="23" t="str">
        <x:v>conn_041</x:v>
      </x:c>
      <x:c r="B42" s="176" t="str">
        <x:v>project_management</x:v>
      </x:c>
      <x:c r="C42" s="176" t="str">
        <x:v>purchasing_supplier_management</x:v>
      </x:c>
      <x:c r="D42" s="176" t="str">
        <x:v>Project Management</x:v>
      </x:c>
      <x:c r="E42" s="176" t="str">
        <x:v>Purchasing &amp; Supplier Management</x:v>
      </x:c>
      <x:c r="F42" s="176" t="str">
        <x:v>Project Management</x:v>
      </x:c>
      <x:c r="G42" s="176" t="str">
        <x:v>Supply Chain</x:v>
      </x:c>
      <x:c r="H42" s="176" t="str">
        <x:v>AI project risk summary and blocker digest</x:v>
      </x:c>
      <x:c r="I42" s="176" t="str">
        <x:v>AI/Automation</x:v>
      </x:c>
      <x:c r="J42" s="176" t="str">
        <x:v>Material risk escalation</x:v>
      </x:c>
      <x:c r="K42" s="176" t="str">
        <x:v>Late material risk, shortage impact, supplier ETA, next best action</x:v>
      </x:c>
      <x:c r="L42" s="176" t="str">
        <x:v>Project digest identifies supply risk</x:v>
      </x:c>
      <x:c r="M42" s="176" t="str">
        <x:v>AI summary routes blocker to purchasing</x:v>
      </x:c>
      <x:c r="N42" s="176" t="str">
        <x:v>Notional Proposed</x:v>
      </x:c>
      <x:c r="O42" s="176" t="str">
        <x:v>Project Management / Purchasing</x:v>
      </x:c>
      <x:c r="P42" s="176" t="str">
        <x:v>Daily</x:v>
      </x:c>
      <x:c r="Q42" s="176" t="str">
        <x:v>Source to target</x:v>
      </x:c>
      <x:c r="R42" s="176" t="str">
        <x:v>df_conn_041</x:v>
      </x:c>
      <x:c r="S42" s="176" t="str">
        <x:v>smoothstep</x:v>
      </x:c>
      <x:c r="T42" s="176" t="str">
        <x:v>#047857</x:v>
      </x:c>
      <x:c r="U42" s="176" t="str">
        <x:v>dot</x:v>
      </x:c>
      <x:c r="V42" s="178" t="n">
        <x:v>3</x:v>
      </x:c>
      <x:c r="W42" s="186" t="b">
        <x:v>1</x:v>
      </x:c>
      <x:c r="X42" s="24" t="str">
        <x:v>Notional connection for React data-flow overlay; validate with process owners.</x:v>
      </x:c>
    </x:row>
    <x:row r="43">
      <x:c r="A43" s="23" t="str">
        <x:v>conn_042</x:v>
      </x:c>
      <x:c r="B43" s="176" t="str">
        <x:v>final_quality_assurance</x:v>
      </x:c>
      <x:c r="C43" s="176" t="str">
        <x:v>engineering_production_planning</x:v>
      </x:c>
      <x:c r="D43" s="176" t="str">
        <x:v>Final Quality Assurance</x:v>
      </x:c>
      <x:c r="E43" s="176" t="str">
        <x:v>Engineering &amp; Production Planning</x:v>
      </x:c>
      <x:c r="F43" s="176" t="str">
        <x:v>Quality Assurance</x:v>
      </x:c>
      <x:c r="G43" s="176" t="str">
        <x:v>Engineering &amp; Planning</x:v>
      </x:c>
      <x:c r="H43" s="176" t="str">
        <x:v>UniPoint QMS</x:v>
      </x:c>
      <x:c r="I43" s="176" t="str">
        <x:v>QMS / Compliance</x:v>
      </x:c>
      <x:c r="J43" s="176" t="str">
        <x:v>NCR/CAR feedback to engineering</x:v>
      </x:c>
      <x:c r="K43" s="176" t="str">
        <x:v>NCR trend, recurring defect, drawing/process correction request</x:v>
      </x:c>
      <x:c r="L43" s="176" t="str">
        <x:v>NCR or corrective action is opened</x:v>
      </x:c>
      <x:c r="M43" s="176" t="str">
        <x:v>Quality feedback loop</x:v>
      </x:c>
      <x:c r="N43" s="176" t="str">
        <x:v>Notional Current</x:v>
      </x:c>
      <x:c r="O43" s="176" t="str">
        <x:v>Quality / Engineering</x:v>
      </x:c>
      <x:c r="P43" s="176" t="str">
        <x:v>As needed</x:v>
      </x:c>
      <x:c r="Q43" s="176" t="str">
        <x:v>Source to target</x:v>
      </x:c>
      <x:c r="R43" s="176" t="str">
        <x:v>df_conn_042</x:v>
      </x:c>
      <x:c r="S43" s="176" t="str">
        <x:v>smoothstep</x:v>
      </x:c>
      <x:c r="T43" s="176" t="str">
        <x:v>#DC2626</x:v>
      </x:c>
      <x:c r="U43" s="176" t="str">
        <x:v>solid</x:v>
      </x:c>
      <x:c r="V43" s="178" t="n">
        <x:v>2</x:v>
      </x:c>
      <x:c r="W43" s="186" t="b">
        <x:v>0</x:v>
      </x:c>
      <x:c r="X43" s="24" t="str">
        <x:v>Notional connection for React data-flow overlay; validate with process owners.</x:v>
      </x:c>
    </x:row>
    <x:row r="44">
      <x:c r="A44" s="23" t="str">
        <x:v>conn_043</x:v>
      </x:c>
      <x:c r="B44" s="176" t="str">
        <x:v>estimating_quoting</x:v>
      </x:c>
      <x:c r="C44" s="176" t="str">
        <x:v>engineering_production_planning</x:v>
      </x:c>
      <x:c r="D44" s="176" t="str">
        <x:v>Estimating &amp; Quoting</x:v>
      </x:c>
      <x:c r="E44" s="176" t="str">
        <x:v>Engineering &amp; Production Planning</x:v>
      </x:c>
      <x:c r="F44" s="176" t="str">
        <x:v>Sales &amp; Quoting</x:v>
      </x:c>
      <x:c r="G44" s="176" t="str">
        <x:v>Engineering &amp; Planning</x:v>
      </x:c>
      <x:c r="H44" s="176" t="str">
        <x:v>AI quote comparison and manufacturability screener</x:v>
      </x:c>
      <x:c r="I44" s="176" t="str">
        <x:v>AI/Automation</x:v>
      </x:c>
      <x:c r="J44" s="176" t="str">
        <x:v>Quote risk to engineering planning</x:v>
      </x:c>
      <x:c r="K44" s="176" t="str">
        <x:v>Manufacturability flags, estimate assumptions, prior-job comparisons</x:v>
      </x:c>
      <x:c r="L44" s="176" t="str">
        <x:v>Quote is prepared or awarded</x:v>
      </x:c>
      <x:c r="M44" s="176" t="str">
        <x:v>AI summary reviewed by engineering</x:v>
      </x:c>
      <x:c r="N44" s="176" t="str">
        <x:v>Notional Proposed</x:v>
      </x:c>
      <x:c r="O44" s="176" t="str">
        <x:v>Estimating / Engineering</x:v>
      </x:c>
      <x:c r="P44" s="176" t="str">
        <x:v>Per complex quote</x:v>
      </x:c>
      <x:c r="Q44" s="176" t="str">
        <x:v>Source to target</x:v>
      </x:c>
      <x:c r="R44" s="176" t="str">
        <x:v>df_conn_043</x:v>
      </x:c>
      <x:c r="S44" s="176" t="str">
        <x:v>smoothstep</x:v>
      </x:c>
      <x:c r="T44" s="176" t="str">
        <x:v>#047857</x:v>
      </x:c>
      <x:c r="U44" s="176" t="str">
        <x:v>dot</x:v>
      </x:c>
      <x:c r="V44" s="178" t="n">
        <x:v>3</x:v>
      </x:c>
      <x:c r="W44" s="186" t="b">
        <x:v>1</x:v>
      </x:c>
      <x:c r="X44" s="24" t="str">
        <x:v>Notional connection for React data-flow overlay; validate with process owners.</x:v>
      </x:c>
    </x:row>
    <x:row r="45">
      <x:c r="A45" s="23" t="str">
        <x:v>conn_044</x:v>
      </x:c>
      <x:c r="B45" s="176" t="str">
        <x:v>receiving_material_control</x:v>
      </x:c>
      <x:c r="C45" s="176" t="str">
        <x:v>purchasing_supplier_management</x:v>
      </x:c>
      <x:c r="D45" s="176" t="str">
        <x:v>Receiving &amp; Material Control</x:v>
      </x:c>
      <x:c r="E45" s="176" t="str">
        <x:v>Purchasing &amp; Supplier Management</x:v>
      </x:c>
      <x:c r="F45" s="176" t="str">
        <x:v>Supply Chain</x:v>
      </x:c>
      <x:c r="G45" s="176" t="str">
        <x:v>Supply Chain</x:v>
      </x:c>
      <x:c r="H45" s="176" t="str">
        <x:v>Receiving Hold and Cert Review Log</x:v>
      </x:c>
      <x:c r="I45" s="176" t="str">
        <x:v>Spreadsheet/Tracker</x:v>
      </x:c>
      <x:c r="J45" s="176" t="str">
        <x:v>Receiving discrepancy feedback</x:v>
      </x:c>
      <x:c r="K45" s="176" t="str">
        <x:v>Missing certs, damaged material, incorrect quantity, supplier follow-up needed</x:v>
      </x:c>
      <x:c r="L45" s="176" t="str">
        <x:v>Receiving discrepancy is logged</x:v>
      </x:c>
      <x:c r="M45" s="176" t="str">
        <x:v>Tracker update and supplier follow-up</x:v>
      </x:c>
      <x:c r="N45" s="176" t="str">
        <x:v>Notional Current</x:v>
      </x:c>
      <x:c r="O45" s="176" t="str">
        <x:v>Receiving / Purchasing</x:v>
      </x:c>
      <x:c r="P45" s="176" t="str">
        <x:v>As needed</x:v>
      </x:c>
      <x:c r="Q45" s="176" t="str">
        <x:v>Source to target</x:v>
      </x:c>
      <x:c r="R45" s="176" t="str">
        <x:v>df_conn_044</x:v>
      </x:c>
      <x:c r="S45" s="176" t="str">
        <x:v>smoothstep</x:v>
      </x:c>
      <x:c r="T45" s="176" t="str">
        <x:v>#EA580C</x:v>
      </x:c>
      <x:c r="U45" s="176" t="str">
        <x:v>dash</x:v>
      </x:c>
      <x:c r="V45" s="178" t="n">
        <x:v>2</x:v>
      </x:c>
      <x:c r="W45" s="186" t="b">
        <x:v>0</x:v>
      </x:c>
      <x:c r="X45" s="24" t="str">
        <x:v>Notional connection for React data-flow overlay; validate with process owners.</x:v>
      </x:c>
    </x:row>
  </x:sheetData>
  <x:dataValidations count="4">
    <x:dataValidation type="list" sqref="I2:I45">
      <x:formula1>"ERP/MRP System,Department Software,Spreadsheet/Tracker,AI/Automation,QMS / Compliance"</x:formula1>
    </x:dataValidation>
    <x:dataValidation type="list" sqref="N2:N45">
      <x:formula1>"Current State,In Review,Active Project,Future Opportunity,Not Started"</x:formula1>
    </x:dataValidation>
    <x:dataValidation type="list" sqref="S2:S45">
      <x:formula1>"smoothstep,step,default"</x:formula1>
    </x:dataValidation>
    <x:dataValidation type="list" sqref="U2:U45">
      <x:formula1>"solid,dash,dot"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ab124273c746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0" hidden="0" customWidth="1"/>
    <x:col min="4" max="4" width="28" hidden="0" customWidth="1"/>
    <x:col min="5" max="5" width="14" hidden="0" customWidth="1"/>
    <x:col min="6" max="6" width="14" hidden="0" customWidth="1"/>
    <x:col min="7" max="7" width="62" hidden="0" customWidth="1"/>
    <x:col min="8" max="8" width="30" hidden="0" customWidth="1"/>
    <x:col min="9" max="9" width="18" hidden="0" customWidth="1"/>
    <x:col min="10" max="10" width="58" hidden="0" customWidth="1"/>
  </x:cols>
  <x:sheetData>
    <x:row r="1">
      <x:c r="A1" s="11" t="str">
        <x:v>system_name</x:v>
      </x:c>
      <x:c r="B1" s="11" t="str">
        <x:v>system_category</x:v>
      </x:c>
      <x:c r="C1" s="11" t="str">
        <x:v>lifecycle_status</x:v>
      </x:c>
      <x:c r="D1" s="11" t="str">
        <x:v>system_owner</x:v>
      </x:c>
      <x:c r="E1" s="11" t="str">
        <x:v>line_color</x:v>
      </x:c>
      <x:c r="F1" s="11" t="str">
        <x:v>line_style</x:v>
      </x:c>
      <x:c r="G1" s="11" t="str">
        <x:v>data_scope</x:v>
      </x:c>
      <x:c r="H1" s="11" t="str">
        <x:v>connected_flowchart_keys</x:v>
      </x:c>
      <x:c r="I1" s="11" t="str">
        <x:v>connection_count</x:v>
      </x:c>
      <x:c r="J1" s="11" t="str">
        <x:v>notes</x:v>
      </x:c>
    </x:row>
    <x:row r="2">
      <x:c r="A2" s="21" t="str">
        <x:v>JobBoss2</x:v>
      </x:c>
      <x:c r="B2" s="175" t="str">
        <x:v>ERP/MRP System</x:v>
      </x:c>
      <x:c r="C2" s="175" t="str">
        <x:v>Notional Current</x:v>
      </x:c>
      <x:c r="D2" s="175" t="str">
        <x:v>ERP Administrator / Operations</x:v>
      </x:c>
      <x:c r="E2" s="175" t="str">
        <x:v>#2563EB</x:v>
      </x:c>
      <x:c r="F2" s="175" t="str">
        <x:v>solid</x:v>
      </x:c>
      <x:c r="G2" s="175" t="str">
        <x:v>Customer, quote, sales order, job, BOM, routing, purchase order, inventory, operation status, shipping release</x:v>
      </x:c>
      <x:c r="H2" s="175" t="str">
        <x:v>A, B, C, D, E, F, G, H, I, J, K, L, M, N, O, P, Q, R</x:v>
      </x:c>
      <x:c r="I2" s="177" t="n">
        <x:f>IF(OR(A2="Operational Trackers",A2="AI Automation Layer"),COUNTIF('System Connections'!$I$2:$I$45,B2),COUNTIF('System Connections'!$H$2:$H$45,A2))</x:f>
        <x:v>19</x:v>
      </x:c>
      <x:c r="J2" s="22" t="str">
        <x:v>Notional backbone system for quote-to-cash, shop dispatch, inventory, status, and shipment records.</x:v>
      </x:c>
    </x:row>
    <x:row r="3">
      <x:c r="A3" s="23" t="str">
        <x:v>Microsoft SharePoint / Teams / Outlook</x:v>
      </x:c>
      <x:c r="B3" s="176" t="str">
        <x:v>Department Software</x:v>
      </x:c>
      <x:c r="C3" s="176" t="str">
        <x:v>Notional Current</x:v>
      </x:c>
      <x:c r="D3" s="176" t="str">
        <x:v>IT / Department Owners</x:v>
      </x:c>
      <x:c r="E3" s="176" t="str">
        <x:v>#7C3AED</x:v>
      </x:c>
      <x:c r="F3" s="176" t="str">
        <x:v>dash</x:v>
      </x:c>
      <x:c r="G3" s="176" t="str">
        <x:v>Documents, order package, customer/supplier communications, action items, project updates</x:v>
      </x:c>
      <x:c r="H3" s="176" t="str">
        <x:v>A, C, D, E, G, Q, R</x:v>
      </x:c>
      <x:c r="I3" s="178" t="n">
        <x:f>IF(OR(A3="Operational Trackers",A3="AI Automation Layer"),COUNTIF('System Connections'!$I$2:$I$45,B3),COUNTIF('System Connections'!$H$2:$H$45,A3))</x:f>
        <x:v>2</x:v>
      </x:c>
      <x:c r="J3" s="24" t="str">
        <x:v>Notional collaboration/document layer used where work still travels through documents and messages.</x:v>
      </x:c>
    </x:row>
    <x:row r="4">
      <x:c r="A4" s="23" t="str">
        <x:v>UniPoint QMS</x:v>
      </x:c>
      <x:c r="B4" s="176" t="str">
        <x:v>QMS / Compliance</x:v>
      </x:c>
      <x:c r="C4" s="176" t="str">
        <x:v>Notional Current</x:v>
      </x:c>
      <x:c r="D4" s="176" t="str">
        <x:v>Quality Manager</x:v>
      </x:c>
      <x:c r="E4" s="176" t="str">
        <x:v>#DC2626</x:v>
      </x:c>
      <x:c r="F4" s="176" t="str">
        <x:v>solid</x:v>
      </x:c>
      <x:c r="G4" s="176" t="str">
        <x:v>Inspection records, NCRs, corrective actions, certifications, release approvals</x:v>
      </x:c>
      <x:c r="H4" s="176" t="str">
        <x:v>F, K, M, N, P, Q, R</x:v>
      </x:c>
      <x:c r="I4" s="178" t="n">
        <x:f>IF(OR(A4="Operational Trackers",A4="AI Automation Layer"),COUNTIF('System Connections'!$I$2:$I$45,B4),COUNTIF('System Connections'!$H$2:$H$45,A4))</x:f>
        <x:v>5</x:v>
      </x:c>
      <x:c r="J4" s="24" t="str">
        <x:v>Notional quality system connecting receiving, in-process/final quality, documentation, and shipping release.</x:v>
      </x:c>
    </x:row>
    <x:row r="5">
      <x:c r="A5" s="23" t="str">
        <x:v>Digital Work Instructions / Kitting App</x:v>
      </x:c>
      <x:c r="B5" s="176" t="str">
        <x:v>Department Software</x:v>
      </x:c>
      <x:c r="C5" s="176" t="str">
        <x:v>Notional Current</x:v>
      </x:c>
      <x:c r="D5" s="176" t="str">
        <x:v>Assembly / Engineering</x:v>
      </x:c>
      <x:c r="E5" s="176" t="str">
        <x:v>#7C3AED</x:v>
      </x:c>
      <x:c r="F5" s="176" t="str">
        <x:v>solid</x:v>
      </x:c>
      <x:c r="G5" s="176" t="str">
        <x:v>Kits, work steps, photos, shortages, build status, operator checks</x:v>
      </x:c>
      <x:c r="H5" s="176" t="str">
        <x:v>D, G, O, P, Q</x:v>
      </x:c>
      <x:c r="I5" s="178" t="n">
        <x:f>IF(OR(A5="Operational Trackers",A5="AI Automation Layer"),COUNTIF('System Connections'!$I$2:$I$45,B5),COUNTIF('System Connections'!$H$2:$H$45,A5))</x:f>
        <x:v>1</x:v>
      </x:c>
      <x:c r="J5" s="24" t="str">
        <x:v>Notional guided assembly layer connecting engineering release, kitting, assembly, test, and quality.</x:v>
      </x:c>
    </x:row>
    <x:row r="6">
      <x:c r="A6" s="23" t="str">
        <x:v>Shop Department Software</x:v>
      </x:c>
      <x:c r="B6" s="176" t="str">
        <x:v>Department Software</x:v>
      </x:c>
      <x:c r="C6" s="176" t="str">
        <x:v>Notional Current</x:v>
      </x:c>
      <x:c r="D6" s="176" t="str">
        <x:v>Manufacturing Leads</x:v>
      </x:c>
      <x:c r="E6" s="176" t="str">
        <x:v>#7C3AED</x:v>
      </x:c>
      <x:c r="F6" s="176" t="str">
        <x:v>solid</x:v>
      </x:c>
      <x:c r="G6" s="176" t="str">
        <x:v>Cut files, nests, bend programs, CAM programs, WPS records, setup sheets, machine/controller data</x:v>
      </x:c>
      <x:c r="H6" s="176" t="str">
        <x:v>D, H, I, J, K, L</x:v>
      </x:c>
      <x:c r="I6" s="178" t="n">
        <x:f>IF(OR(A6="Operational Trackers",A6="AI Automation Layer"),COUNTIF('System Connections'!$I$2:$I$45,B6),COUNTIF('System Connections'!$H$2:$H$45,A6))</x:f>
        <x:v>4</x:v>
      </x:c>
      <x:c r="J6" s="24" t="str">
        <x:v>Composite notional row for department tools that receive engineering/programming packages and return status/lessons learned.</x:v>
      </x:c>
    </x:row>
    <x:row r="7">
      <x:c r="A7" s="23" t="str">
        <x:v>Operational Trackers</x:v>
      </x:c>
      <x:c r="B7" s="176" t="str">
        <x:v>Spreadsheet/Tracker</x:v>
      </x:c>
      <x:c r="C7" s="176" t="str">
        <x:v>Notional Current</x:v>
      </x:c>
      <x:c r="D7" s="176" t="str">
        <x:v>Process Owners</x:v>
      </x:c>
      <x:c r="E7" s="176" t="str">
        <x:v>#EA580C</x:v>
      </x:c>
      <x:c r="F7" s="176" t="str">
        <x:v>dash</x:v>
      </x:c>
      <x:c r="G7" s="176" t="str">
        <x:v>Shortages, milestones, expediting, setup notes, outside process status, issues, documentation checklists</x:v>
      </x:c>
      <x:c r="H7" s="176" t="str">
        <x:v>B, D, E, F, G, H, I, J, K, L, M, N, O, P, Q, R</x:v>
      </x:c>
      <x:c r="I7" s="178" t="n">
        <x:f>IF(OR(A7="Operational Trackers",A7="AI Automation Layer"),COUNTIF('System Connections'!$I$2:$I$45,B7),COUNTIF('System Connections'!$H$2:$H$45,A7))</x:f>
        <x:v>5</x:v>
      </x:c>
      <x:c r="J7" s="24" t="str">
        <x:v>Notional tracker layer for things that may still be maintained in Excel or lightweight lists.</x:v>
      </x:c>
    </x:row>
    <x:row r="8">
      <x:c r="A8" s="23" t="str">
        <x:v>AI Automation Layer</x:v>
      </x:c>
      <x:c r="B8" s="176" t="str">
        <x:v>AI/Automation</x:v>
      </x:c>
      <x:c r="C8" s="176" t="str">
        <x:v>Notional Proposed</x:v>
      </x:c>
      <x:c r="D8" s="176" t="str">
        <x:v>IT / Process Owners</x:v>
      </x:c>
      <x:c r="E8" s="176" t="str">
        <x:v>#047857</x:v>
      </x:c>
      <x:c r="F8" s="176" t="str">
        <x:v>dot</x:v>
      </x:c>
      <x:c r="G8" s="176" t="str">
        <x:v>RFQ summaries, quote checks, PO mismatch checks, drawing/BOM checks, cert OCR, risk summaries, anomaly detection</x:v>
      </x:c>
      <x:c r="H8" s="176" t="str">
        <x:v>A, B, C, D, E, F, G, H, I, J, K, L, M, N, O, P, Q, R</x:v>
      </x:c>
      <x:c r="I8" s="178" t="n">
        <x:f>IF(OR(A8="Operational Trackers",A8="AI Automation Layer"),COUNTIF('System Connections'!$I$2:$I$45,B8),COUNTIF('System Connections'!$H$2:$H$45,A8))</x:f>
        <x:v>5</x:v>
      </x:c>
      <x:c r="J8" s="24" t="str">
        <x:v>Notional AI layer; every AI connection should remain human-reviewed in production.</x:v>
      </x:c>
    </x:row>
  </x:sheetData>
  <x:dataValidations count="2">
    <x:dataValidation type="list" sqref="B2:B8">
      <x:formula1>"ERP/MRP System,Department Software,Spreadsheet/Tracker,AI/Automation,QMS / Compliance"</x:formula1>
    </x:dataValidation>
    <x:dataValidation type="list" sqref="F2:F8">
      <x:formula1>"solid,dash,dot"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5ef157da7642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16" hidden="0" customWidth="1"/>
    <x:col min="5" max="5" width="12" hidden="0" customWidth="1"/>
    <x:col min="6" max="6" width="38" hidden="0" customWidth="1"/>
    <x:col min="7" max="7" width="34" hidden="0" customWidth="1"/>
    <x:col min="8" max="8" width="22" hidden="0" customWidth="1"/>
    <x:col min="9" max="9" width="58" hidden="0" customWidth="1"/>
    <x:col min="10" max="10" width="14" hidden="0" customWidth="1"/>
    <x:col min="11" max="11" width="12" hidden="0" customWidth="1"/>
    <x:col min="12" max="12" width="18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18" hidden="0" customWidth="1"/>
    <x:col min="18" max="18" width="48" hidden="0" customWidth="1"/>
  </x:cols>
  <x:sheetData>
    <x:row r="1">
      <x:c r="A1" s="11" t="str">
        <x:v>edge_id</x:v>
      </x:c>
      <x:c r="B1" s="11" t="str">
        <x:v>source_node_id</x:v>
      </x:c>
      <x:c r="C1" s="11" t="str">
        <x:v>target_node_id</x:v>
      </x:c>
      <x:c r="D1" s="11" t="str">
        <x:v>edge_type</x:v>
      </x:c>
      <x:c r="E1" s="11" t="str">
        <x:v>animated</x:v>
      </x:c>
      <x:c r="F1" s="11" t="str">
        <x:v>label</x:v>
      </x:c>
      <x:c r="G1" s="11" t="str">
        <x:v>connection_type</x:v>
      </x:c>
      <x:c r="H1" s="11" t="str">
        <x:v>system_category</x:v>
      </x:c>
      <x:c r="I1" s="11" t="str">
        <x:v>data_transmitted</x:v>
      </x:c>
      <x:c r="J1" s="11" t="str">
        <x:v>stroke_color</x:v>
      </x:c>
      <x:c r="K1" s="11" t="str">
        <x:v>stroke_width</x:v>
      </x:c>
      <x:c r="L1" s="11" t="str">
        <x:v>stroke_dasharray</x:v>
      </x:c>
      <x:c r="M1" s="11" t="str">
        <x:v>source_handle</x:v>
      </x:c>
      <x:c r="N1" s="11" t="str">
        <x:v>target_handle</x:v>
      </x:c>
      <x:c r="O1" s="11" t="str">
        <x:v>z_index</x:v>
      </x:c>
      <x:c r="P1" s="11" t="str">
        <x:v>connection_id</x:v>
      </x:c>
      <x:c r="Q1" s="11" t="str">
        <x:v>edge_layer</x:v>
      </x:c>
      <x:c r="R1" s="11" t="str">
        <x:v>notes</x:v>
      </x:c>
    </x:row>
    <x:row r="2">
      <x:c r="A2" s="21" t="str">
        <x:v>df_conn_001</x:v>
      </x:c>
      <x:c r="B2" s="175" t="str">
        <x:v>sales_customer_opportunities</x:v>
      </x:c>
      <x:c r="C2" s="175" t="str">
        <x:v>estimating_quoting</x:v>
      </x:c>
      <x:c r="D2" s="175" t="str">
        <x:v>smoothstep</x:v>
      </x:c>
      <x:c r="E2" s="185" t="b">
        <x:v>0</x:v>
      </x:c>
      <x:c r="F2" s="175" t="str">
        <x:v>JobBoss2</x:v>
      </x:c>
      <x:c r="G2" s="175" t="str">
        <x:v>Opportunity-to-quote handoff</x:v>
      </x:c>
      <x:c r="H2" s="175" t="str">
        <x:v>ERP/MRP System</x:v>
      </x:c>
      <x:c r="I2" s="175" t="str">
        <x:v>Customer, contact, RFQ, opportunity notes, due date</x:v>
      </x:c>
      <x:c r="J2" s="175" t="str">
        <x:v>#2563EB</x:v>
      </x:c>
      <x:c r="K2" s="177" t="n">
        <x:v>2</x:v>
      </x:c>
      <x:c r="L2" s="175" t="str"/>
      <x:c r="M2" s="175" t="str"/>
      <x:c r="N2" s="175" t="str"/>
      <x:c r="O2" s="177" t="n">
        <x:v>10</x:v>
      </x:c>
      <x:c r="P2" s="175" t="str">
        <x:v>conn_001</x:v>
      </x:c>
      <x:c r="Q2" s="175" t="str">
        <x:v>system-data-flow</x:v>
      </x:c>
      <x:c r="R2" s="22" t="str">
        <x:v>Notional connection for React data-flow overlay; validate with process owners.</x:v>
      </x:c>
    </x:row>
    <x:row r="3">
      <x:c r="A3" s="23" t="str">
        <x:v>df_conn_002</x:v>
      </x:c>
      <x:c r="B3" s="176" t="str">
        <x:v>estimating_quoting</x:v>
      </x:c>
      <x:c r="C3" s="176" t="str">
        <x:v>order_review_processing</x:v>
      </x:c>
      <x:c r="D3" s="176" t="str">
        <x:v>smoothstep</x:v>
      </x:c>
      <x:c r="E3" s="186" t="b">
        <x:v>0</x:v>
      </x:c>
      <x:c r="F3" s="176" t="str">
        <x:v>JobBoss2</x:v>
      </x:c>
      <x:c r="G3" s="176" t="str">
        <x:v>Quote-to-order conversion</x:v>
      </x:c>
      <x:c r="H3" s="176" t="str">
        <x:v>ERP/MRP System</x:v>
      </x:c>
      <x:c r="I3" s="176" t="str">
        <x:v>Quote, pricing, assumptions, lead time, exclusions</x:v>
      </x:c>
      <x:c r="J3" s="176" t="str">
        <x:v>#2563EB</x:v>
      </x:c>
      <x:c r="K3" s="178" t="n">
        <x:v>2</x:v>
      </x:c>
      <x:c r="L3" s="176" t="str"/>
      <x:c r="M3" s="176" t="str"/>
      <x:c r="N3" s="176" t="str"/>
      <x:c r="O3" s="178" t="n">
        <x:v>10</x:v>
      </x:c>
      <x:c r="P3" s="176" t="str">
        <x:v>conn_002</x:v>
      </x:c>
      <x:c r="Q3" s="176" t="str">
        <x:v>system-data-flow</x:v>
      </x:c>
      <x:c r="R3" s="24" t="str">
        <x:v>Notional connection for React data-flow overlay; validate with process owners.</x:v>
      </x:c>
    </x:row>
    <x:row r="4">
      <x:c r="A4" s="23" t="str">
        <x:v>df_conn_003</x:v>
      </x:c>
      <x:c r="B4" s="176" t="str">
        <x:v>order_review_processing</x:v>
      </x:c>
      <x:c r="C4" s="176" t="str">
        <x:v>engineering_production_planning</x:v>
      </x:c>
      <x:c r="D4" s="176" t="str">
        <x:v>smoothstep</x:v>
      </x:c>
      <x:c r="E4" s="186" t="b">
        <x:v>0</x:v>
      </x:c>
      <x:c r="F4" s="176" t="str">
        <x:v>Microsoft SharePoint / Teams / Outlook</x:v>
      </x:c>
      <x:c r="G4" s="176" t="str">
        <x:v>Order package release</x:v>
      </x:c>
      <x:c r="H4" s="176" t="str">
        <x:v>Department Software</x:v>
      </x:c>
      <x:c r="I4" s="176" t="str">
        <x:v>PO, quote, drawings, revisions, contract review checklist</x:v>
      </x:c>
      <x:c r="J4" s="176" t="str">
        <x:v>#7C3AED</x:v>
      </x:c>
      <x:c r="K4" s="178" t="n">
        <x:v>2</x:v>
      </x:c>
      <x:c r="L4" s="176" t="str">
        <x:v>8 5</x:v>
      </x:c>
      <x:c r="M4" s="176" t="str"/>
      <x:c r="N4" s="176" t="str"/>
      <x:c r="O4" s="178" t="n">
        <x:v>10</x:v>
      </x:c>
      <x:c r="P4" s="176" t="str">
        <x:v>conn_003</x:v>
      </x:c>
      <x:c r="Q4" s="176" t="str">
        <x:v>system-data-flow</x:v>
      </x:c>
      <x:c r="R4" s="24" t="str">
        <x:v>Notional connection for React data-flow overlay; validate with process owners.</x:v>
      </x:c>
    </x:row>
    <x:row r="5">
      <x:c r="A5" s="23" t="str">
        <x:v>df_conn_004</x:v>
      </x:c>
      <x:c r="B5" s="176" t="str">
        <x:v>order_review_processing</x:v>
      </x:c>
      <x:c r="C5" s="176" t="str">
        <x:v>engineering_production_planning</x:v>
      </x:c>
      <x:c r="D5" s="176" t="str">
        <x:v>smoothstep</x:v>
      </x:c>
      <x:c r="E5" s="186" t="b">
        <x:v>1</x:v>
      </x:c>
      <x:c r="F5" s="176" t="str">
        <x:v>AI PO-to-quote mismatch checker</x:v>
      </x:c>
      <x:c r="G5" s="176" t="str">
        <x:v>Pre-release exception alert</x:v>
      </x:c>
      <x:c r="H5" s="176" t="str">
        <x:v>AI/Automation</x:v>
      </x:c>
      <x:c r="I5" s="176" t="str">
        <x:v>PO-to-quote mismatches, revision conflicts, missing flowdowns</x:v>
      </x:c>
      <x:c r="J5" s="176" t="str">
        <x:v>#047857</x:v>
      </x:c>
      <x:c r="K5" s="178" t="n">
        <x:v>3</x:v>
      </x:c>
      <x:c r="L5" s="176" t="str">
        <x:v>2 5</x:v>
      </x:c>
      <x:c r="M5" s="176" t="str"/>
      <x:c r="N5" s="176" t="str"/>
      <x:c r="O5" s="178" t="n">
        <x:v>10</x:v>
      </x:c>
      <x:c r="P5" s="176" t="str">
        <x:v>conn_004</x:v>
      </x:c>
      <x:c r="Q5" s="176" t="str">
        <x:v>system-data-flow</x:v>
      </x:c>
      <x:c r="R5" s="24" t="str">
        <x:v>Notional connection for React data-flow overlay; validate with process owners.</x:v>
      </x:c>
    </x:row>
    <x:row r="6">
      <x:c r="A6" s="23" t="str">
        <x:v>df_conn_005</x:v>
      </x:c>
      <x:c r="B6" s="176" t="str">
        <x:v>engineering_production_planning</x:v>
      </x:c>
      <x:c r="C6" s="176" t="str">
        <x:v>purchasing_supplier_management</x:v>
      </x:c>
      <x:c r="D6" s="176" t="str">
        <x:v>smoothstep</x:v>
      </x:c>
      <x:c r="E6" s="186" t="b">
        <x:v>0</x:v>
      </x:c>
      <x:c r="F6" s="176" t="str">
        <x:v>JobBoss2</x:v>
      </x:c>
      <x:c r="G6" s="176" t="str">
        <x:v>BOM-to-purchasing demand</x:v>
      </x:c>
      <x:c r="H6" s="176" t="str">
        <x:v>ERP/MRP System</x:v>
      </x:c>
      <x:c r="I6" s="176" t="str">
        <x:v>BOM, material requirements, outside-process needs, due dates</x:v>
      </x:c>
      <x:c r="J6" s="176" t="str">
        <x:v>#2563EB</x:v>
      </x:c>
      <x:c r="K6" s="178" t="n">
        <x:v>2</x:v>
      </x:c>
      <x:c r="L6" s="176" t="str"/>
      <x:c r="M6" s="176" t="str"/>
      <x:c r="N6" s="176" t="str"/>
      <x:c r="O6" s="178" t="n">
        <x:v>10</x:v>
      </x:c>
      <x:c r="P6" s="176" t="str">
        <x:v>conn_005</x:v>
      </x:c>
      <x:c r="Q6" s="176" t="str">
        <x:v>system-data-flow</x:v>
      </x:c>
      <x:c r="R6" s="24" t="str">
        <x:v>Notional connection for React data-flow overlay; validate with process owners.</x:v>
      </x:c>
    </x:row>
    <x:row r="7">
      <x:c r="A7" s="23" t="str">
        <x:v>df_conn_006</x:v>
      </x:c>
      <x:c r="B7" s="176" t="str">
        <x:v>purchasing_supplier_management</x:v>
      </x:c>
      <x:c r="C7" s="176" t="str">
        <x:v>receiving_material_control</x:v>
      </x:c>
      <x:c r="D7" s="176" t="str">
        <x:v>smoothstep</x:v>
      </x:c>
      <x:c r="E7" s="186" t="b">
        <x:v>0</x:v>
      </x:c>
      <x:c r="F7" s="176" t="str">
        <x:v>JobBoss2</x:v>
      </x:c>
      <x:c r="G7" s="176" t="str">
        <x:v>PO-to-receiving handoff</x:v>
      </x:c>
      <x:c r="H7" s="176" t="str">
        <x:v>ERP/MRP System</x:v>
      </x:c>
      <x:c r="I7" s="176" t="str">
        <x:v>PO lines, supplier, material spec, cert requirements, promised date</x:v>
      </x:c>
      <x:c r="J7" s="176" t="str">
        <x:v>#2563EB</x:v>
      </x:c>
      <x:c r="K7" s="178" t="n">
        <x:v>2</x:v>
      </x:c>
      <x:c r="L7" s="176" t="str"/>
      <x:c r="M7" s="176" t="str"/>
      <x:c r="N7" s="176" t="str"/>
      <x:c r="O7" s="178" t="n">
        <x:v>10</x:v>
      </x:c>
      <x:c r="P7" s="176" t="str">
        <x:v>conn_006</x:v>
      </x:c>
      <x:c r="Q7" s="176" t="str">
        <x:v>system-data-flow</x:v>
      </x:c>
      <x:c r="R7" s="24" t="str">
        <x:v>Notional connection for React data-flow overlay; validate with process owners.</x:v>
      </x:c>
    </x:row>
    <x:row r="8">
      <x:c r="A8" s="23" t="str">
        <x:v>df_conn_007</x:v>
      </x:c>
      <x:c r="B8" s="176" t="str">
        <x:v>receiving_material_control</x:v>
      </x:c>
      <x:c r="C8" s="176" t="str">
        <x:v>final_quality_assurance</x:v>
      </x:c>
      <x:c r="D8" s="176" t="str">
        <x:v>smoothstep</x:v>
      </x:c>
      <x:c r="E8" s="186" t="b">
        <x:v>1</x:v>
      </x:c>
      <x:c r="F8" s="176" t="str">
        <x:v>AI cert OCR and material traceability checker</x:v>
      </x:c>
      <x:c r="G8" s="176" t="str">
        <x:v>Incoming cert review</x:v>
      </x:c>
      <x:c r="H8" s="176" t="str">
        <x:v>AI/Automation</x:v>
      </x:c>
      <x:c r="I8" s="176" t="str">
        <x:v>Cert data, heat/lot, material grade, PO/spec match, mismatch flags</x:v>
      </x:c>
      <x:c r="J8" s="176" t="str">
        <x:v>#047857</x:v>
      </x:c>
      <x:c r="K8" s="178" t="n">
        <x:v>3</x:v>
      </x:c>
      <x:c r="L8" s="176" t="str">
        <x:v>2 5</x:v>
      </x:c>
      <x:c r="M8" s="176" t="str"/>
      <x:c r="N8" s="176" t="str"/>
      <x:c r="O8" s="178" t="n">
        <x:v>10</x:v>
      </x:c>
      <x:c r="P8" s="176" t="str">
        <x:v>conn_007</x:v>
      </x:c>
      <x:c r="Q8" s="176" t="str">
        <x:v>system-data-flow</x:v>
      </x:c>
      <x:c r="R8" s="24" t="str">
        <x:v>Notional connection for React data-flow overlay; validate with process owners.</x:v>
      </x:c>
    </x:row>
    <x:row r="9">
      <x:c r="A9" s="23" t="str">
        <x:v>df_conn_008</x:v>
      </x:c>
      <x:c r="B9" s="176" t="str">
        <x:v>receiving_material_control</x:v>
      </x:c>
      <x:c r="C9" s="176" t="str">
        <x:v>project_management</x:v>
      </x:c>
      <x:c r="D9" s="176" t="str">
        <x:v>smoothstep</x:v>
      </x:c>
      <x:c r="E9" s="186" t="b">
        <x:v>0</x:v>
      </x:c>
      <x:c r="F9" s="176" t="str">
        <x:v>JobBoss2</x:v>
      </x:c>
      <x:c r="G9" s="176" t="str">
        <x:v>Material availability update</x:v>
      </x:c>
      <x:c r="H9" s="176" t="str">
        <x:v>ERP/MRP System</x:v>
      </x:c>
      <x:c r="I9" s="176" t="str">
        <x:v>Receipt status, inventory location, shortages, material hold status</x:v>
      </x:c>
      <x:c r="J9" s="176" t="str">
        <x:v>#2563EB</x:v>
      </x:c>
      <x:c r="K9" s="178" t="n">
        <x:v>2</x:v>
      </x:c>
      <x:c r="L9" s="176" t="str"/>
      <x:c r="M9" s="176" t="str"/>
      <x:c r="N9" s="176" t="str"/>
      <x:c r="O9" s="178" t="n">
        <x:v>10</x:v>
      </x:c>
      <x:c r="P9" s="176" t="str">
        <x:v>conn_008</x:v>
      </x:c>
      <x:c r="Q9" s="176" t="str">
        <x:v>system-data-flow</x:v>
      </x:c>
      <x:c r="R9" s="24" t="str">
        <x:v>Notional connection for React data-flow overlay; validate with process owners.</x:v>
      </x:c>
    </x:row>
    <x:row r="10">
      <x:c r="A10" s="23" t="str">
        <x:v>df_conn_009</x:v>
      </x:c>
      <x:c r="B10" s="176" t="str">
        <x:v>engineering_production_planning</x:v>
      </x:c>
      <x:c r="C10" s="176" t="str">
        <x:v>project_management</x:v>
      </x:c>
      <x:c r="D10" s="176" t="str">
        <x:v>smoothstep</x:v>
      </x:c>
      <x:c r="E10" s="186" t="b">
        <x:v>0</x:v>
      </x:c>
      <x:c r="F10" s="176" t="str">
        <x:v>Microsoft SharePoint / Teams / Outlook</x:v>
      </x:c>
      <x:c r="G10" s="176" t="str">
        <x:v>Engineering release and open questions</x:v>
      </x:c>
      <x:c r="H10" s="176" t="str">
        <x:v>Department Software</x:v>
      </x:c>
      <x:c r="I10" s="176" t="str">
        <x:v>Release status, engineering questions, revision decisions, blockers</x:v>
      </x:c>
      <x:c r="J10" s="176" t="str">
        <x:v>#7C3AED</x:v>
      </x:c>
      <x:c r="K10" s="178" t="n">
        <x:v>2</x:v>
      </x:c>
      <x:c r="L10" s="176" t="str">
        <x:v>8 5</x:v>
      </x:c>
      <x:c r="M10" s="176" t="str"/>
      <x:c r="N10" s="176" t="str"/>
      <x:c r="O10" s="178" t="n">
        <x:v>10</x:v>
      </x:c>
      <x:c r="P10" s="176" t="str">
        <x:v>conn_009</x:v>
      </x:c>
      <x:c r="Q10" s="176" t="str">
        <x:v>system-data-flow</x:v>
      </x:c>
      <x:c r="R10" s="24" t="str">
        <x:v>Notional connection for React data-flow overlay; validate with process owners.</x:v>
      </x:c>
    </x:row>
    <x:row r="11">
      <x:c r="A11" s="23" t="str">
        <x:v>df_conn_010</x:v>
      </x:c>
      <x:c r="B11" s="176" t="str">
        <x:v>project_management</x:v>
      </x:c>
      <x:c r="C11" s="176" t="str">
        <x:v>laser_waterjet</x:v>
      </x:c>
      <x:c r="D11" s="176" t="str">
        <x:v>smoothstep</x:v>
      </x:c>
      <x:c r="E11" s="186" t="b">
        <x:v>0</x:v>
      </x:c>
      <x:c r="F11" s="176" t="str">
        <x:v>JobBoss2</x:v>
      </x:c>
      <x:c r="G11" s="176" t="str">
        <x:v>Shop dispatch to laser/waterjet</x:v>
      </x:c>
      <x:c r="H11" s="176" t="str">
        <x:v>ERP/MRP System</x:v>
      </x:c>
      <x:c r="I11" s="176" t="str">
        <x:v>Released operation, priority, due date, material status</x:v>
      </x:c>
      <x:c r="J11" s="176" t="str">
        <x:v>#2563EB</x:v>
      </x:c>
      <x:c r="K11" s="178" t="n">
        <x:v>2</x:v>
      </x:c>
      <x:c r="L11" s="176" t="str"/>
      <x:c r="M11" s="176" t="str"/>
      <x:c r="N11" s="176" t="str"/>
      <x:c r="O11" s="178" t="n">
        <x:v>10</x:v>
      </x:c>
      <x:c r="P11" s="176" t="str">
        <x:v>conn_010</x:v>
      </x:c>
      <x:c r="Q11" s="176" t="str">
        <x:v>system-data-flow</x:v>
      </x:c>
      <x:c r="R11" s="24" t="str">
        <x:v>Notional connection for React data-flow overlay; validate with process owners.</x:v>
      </x:c>
    </x:row>
    <x:row r="12">
      <x:c r="A12" s="23" t="str">
        <x:v>df_conn_011</x:v>
      </x:c>
      <x:c r="B12" s="176" t="str">
        <x:v>project_management</x:v>
      </x:c>
      <x:c r="C12" s="176" t="str">
        <x:v>bending</x:v>
      </x:c>
      <x:c r="D12" s="176" t="str">
        <x:v>smoothstep</x:v>
      </x:c>
      <x:c r="E12" s="186" t="b">
        <x:v>0</x:v>
      </x:c>
      <x:c r="F12" s="176" t="str">
        <x:v>JobBoss2</x:v>
      </x:c>
      <x:c r="G12" s="176" t="str">
        <x:v>Shop dispatch to bending</x:v>
      </x:c>
      <x:c r="H12" s="176" t="str">
        <x:v>ERP/MRP System</x:v>
      </x:c>
      <x:c r="I12" s="176" t="str">
        <x:v>Released operation, priority, due date, material status</x:v>
      </x:c>
      <x:c r="J12" s="176" t="str">
        <x:v>#2563EB</x:v>
      </x:c>
      <x:c r="K12" s="178" t="n">
        <x:v>2</x:v>
      </x:c>
      <x:c r="L12" s="176" t="str"/>
      <x:c r="M12" s="176" t="str"/>
      <x:c r="N12" s="176" t="str"/>
      <x:c r="O12" s="178" t="n">
        <x:v>10</x:v>
      </x:c>
      <x:c r="P12" s="176" t="str">
        <x:v>conn_011</x:v>
      </x:c>
      <x:c r="Q12" s="176" t="str">
        <x:v>system-data-flow</x:v>
      </x:c>
      <x:c r="R12" s="24" t="str">
        <x:v>Notional connection for React data-flow overlay; validate with process owners.</x:v>
      </x:c>
    </x:row>
    <x:row r="13">
      <x:c r="A13" s="23" t="str">
        <x:v>df_conn_012</x:v>
      </x:c>
      <x:c r="B13" s="176" t="str">
        <x:v>project_management</x:v>
      </x:c>
      <x:c r="C13" s="176" t="str">
        <x:v>machining</x:v>
      </x:c>
      <x:c r="D13" s="176" t="str">
        <x:v>smoothstep</x:v>
      </x:c>
      <x:c r="E13" s="186" t="b">
        <x:v>0</x:v>
      </x:c>
      <x:c r="F13" s="176" t="str">
        <x:v>JobBoss2</x:v>
      </x:c>
      <x:c r="G13" s="176" t="str">
        <x:v>Shop dispatch to machining</x:v>
      </x:c>
      <x:c r="H13" s="176" t="str">
        <x:v>ERP/MRP System</x:v>
      </x:c>
      <x:c r="I13" s="176" t="str">
        <x:v>Released operation, priority, due date, material status</x:v>
      </x:c>
      <x:c r="J13" s="176" t="str">
        <x:v>#2563EB</x:v>
      </x:c>
      <x:c r="K13" s="178" t="n">
        <x:v>2</x:v>
      </x:c>
      <x:c r="L13" s="176" t="str"/>
      <x:c r="M13" s="176" t="str"/>
      <x:c r="N13" s="176" t="str"/>
      <x:c r="O13" s="178" t="n">
        <x:v>10</x:v>
      </x:c>
      <x:c r="P13" s="176" t="str">
        <x:v>conn_012</x:v>
      </x:c>
      <x:c r="Q13" s="176" t="str">
        <x:v>system-data-flow</x:v>
      </x:c>
      <x:c r="R13" s="24" t="str">
        <x:v>Notional connection for React data-flow overlay; validate with process owners.</x:v>
      </x:c>
    </x:row>
    <x:row r="14">
      <x:c r="A14" s="23" t="str">
        <x:v>df_conn_013</x:v>
      </x:c>
      <x:c r="B14" s="176" t="str">
        <x:v>project_management</x:v>
      </x:c>
      <x:c r="C14" s="176" t="str">
        <x:v>welding</x:v>
      </x:c>
      <x:c r="D14" s="176" t="str">
        <x:v>smoothstep</x:v>
      </x:c>
      <x:c r="E14" s="186" t="b">
        <x:v>0</x:v>
      </x:c>
      <x:c r="F14" s="176" t="str">
        <x:v>JobBoss2</x:v>
      </x:c>
      <x:c r="G14" s="176" t="str">
        <x:v>Shop dispatch to welding</x:v>
      </x:c>
      <x:c r="H14" s="176" t="str">
        <x:v>ERP/MRP System</x:v>
      </x:c>
      <x:c r="I14" s="176" t="str">
        <x:v>Released operation, priority, due date, material status</x:v>
      </x:c>
      <x:c r="J14" s="176" t="str">
        <x:v>#2563EB</x:v>
      </x:c>
      <x:c r="K14" s="178" t="n">
        <x:v>2</x:v>
      </x:c>
      <x:c r="L14" s="176" t="str"/>
      <x:c r="M14" s="176" t="str"/>
      <x:c r="N14" s="176" t="str"/>
      <x:c r="O14" s="178" t="n">
        <x:v>10</x:v>
      </x:c>
      <x:c r="P14" s="176" t="str">
        <x:v>conn_013</x:v>
      </x:c>
      <x:c r="Q14" s="176" t="str">
        <x:v>system-data-flow</x:v>
      </x:c>
      <x:c r="R14" s="24" t="str">
        <x:v>Notional connection for React data-flow overlay; validate with process owners.</x:v>
      </x:c>
    </x:row>
    <x:row r="15">
      <x:c r="A15" s="23" t="str">
        <x:v>df_conn_014</x:v>
      </x:c>
      <x:c r="B15" s="176" t="str">
        <x:v>engineering_production_planning</x:v>
      </x:c>
      <x:c r="C15" s="176" t="str">
        <x:v>laser_waterjet</x:v>
      </x:c>
      <x:c r="D15" s="176" t="str">
        <x:v>smoothstep</x:v>
      </x:c>
      <x:c r="E15" s="186" t="b">
        <x:v>0</x:v>
      </x:c>
      <x:c r="F15" s="176" t="str">
        <x:v>Shop Department Software</x:v>
      </x:c>
      <x:c r="G15" s="176" t="str">
        <x:v>Cut-program release</x:v>
      </x:c>
      <x:c r="H15" s="176" t="str">
        <x:v>Department Software</x:v>
      </x:c>
      <x:c r="I15" s="176" t="str">
        <x:v>DXF, cut file, nest request, material/thickness, revision</x:v>
      </x:c>
      <x:c r="J15" s="176" t="str">
        <x:v>#7C3AED</x:v>
      </x:c>
      <x:c r="K15" s="178" t="n">
        <x:v>2</x:v>
      </x:c>
      <x:c r="L15" s="176" t="str"/>
      <x:c r="M15" s="176" t="str"/>
      <x:c r="N15" s="176" t="str"/>
      <x:c r="O15" s="178" t="n">
        <x:v>10</x:v>
      </x:c>
      <x:c r="P15" s="176" t="str">
        <x:v>conn_014</x:v>
      </x:c>
      <x:c r="Q15" s="176" t="str">
        <x:v>system-data-flow</x:v>
      </x:c>
      <x:c r="R15" s="24" t="str">
        <x:v>Notional connection for React data-flow overlay; validate with process owners.</x:v>
      </x:c>
    </x:row>
    <x:row r="16">
      <x:c r="A16" s="23" t="str">
        <x:v>df_conn_015</x:v>
      </x:c>
      <x:c r="B16" s="176" t="str">
        <x:v>engineering_production_planning</x:v>
      </x:c>
      <x:c r="C16" s="176" t="str">
        <x:v>bending</x:v>
      </x:c>
      <x:c r="D16" s="176" t="str">
        <x:v>smoothstep</x:v>
      </x:c>
      <x:c r="E16" s="186" t="b">
        <x:v>0</x:v>
      </x:c>
      <x:c r="F16" s="176" t="str">
        <x:v>Shop Department Software</x:v>
      </x:c>
      <x:c r="G16" s="176" t="str">
        <x:v>Bend-program release</x:v>
      </x:c>
      <x:c r="H16" s="176" t="str">
        <x:v>Department Software</x:v>
      </x:c>
      <x:c r="I16" s="176" t="str">
        <x:v>Bend sequence, setup sheet, tooling requirements, drawing revision</x:v>
      </x:c>
      <x:c r="J16" s="176" t="str">
        <x:v>#7C3AED</x:v>
      </x:c>
      <x:c r="K16" s="178" t="n">
        <x:v>2</x:v>
      </x:c>
      <x:c r="L16" s="176" t="str"/>
      <x:c r="M16" s="176" t="str"/>
      <x:c r="N16" s="176" t="str"/>
      <x:c r="O16" s="178" t="n">
        <x:v>10</x:v>
      </x:c>
      <x:c r="P16" s="176" t="str">
        <x:v>conn_015</x:v>
      </x:c>
      <x:c r="Q16" s="176" t="str">
        <x:v>system-data-flow</x:v>
      </x:c>
      <x:c r="R16" s="24" t="str">
        <x:v>Notional connection for React data-flow overlay; validate with process owners.</x:v>
      </x:c>
    </x:row>
    <x:row r="17">
      <x:c r="A17" s="23" t="str">
        <x:v>df_conn_016</x:v>
      </x:c>
      <x:c r="B17" s="176" t="str">
        <x:v>engineering_production_planning</x:v>
      </x:c>
      <x:c r="C17" s="176" t="str">
        <x:v>machining</x:v>
      </x:c>
      <x:c r="D17" s="176" t="str">
        <x:v>smoothstep</x:v>
      </x:c>
      <x:c r="E17" s="186" t="b">
        <x:v>0</x:v>
      </x:c>
      <x:c r="F17" s="176" t="str">
        <x:v>Shop Department Software</x:v>
      </x:c>
      <x:c r="G17" s="176" t="str">
        <x:v>CAM/programming release</x:v>
      </x:c>
      <x:c r="H17" s="176" t="str">
        <x:v>Department Software</x:v>
      </x:c>
      <x:c r="I17" s="176" t="str">
        <x:v>CAM package, setup sheet, tooling list, inspection features</x:v>
      </x:c>
      <x:c r="J17" s="176" t="str">
        <x:v>#7C3AED</x:v>
      </x:c>
      <x:c r="K17" s="178" t="n">
        <x:v>2</x:v>
      </x:c>
      <x:c r="L17" s="176" t="str"/>
      <x:c r="M17" s="176" t="str"/>
      <x:c r="N17" s="176" t="str"/>
      <x:c r="O17" s="178" t="n">
        <x:v>10</x:v>
      </x:c>
      <x:c r="P17" s="176" t="str">
        <x:v>conn_016</x:v>
      </x:c>
      <x:c r="Q17" s="176" t="str">
        <x:v>system-data-flow</x:v>
      </x:c>
      <x:c r="R17" s="24" t="str">
        <x:v>Notional connection for React data-flow overlay; validate with process owners.</x:v>
      </x:c>
    </x:row>
    <x:row r="18">
      <x:c r="A18" s="23" t="str">
        <x:v>df_conn_017</x:v>
      </x:c>
      <x:c r="B18" s="176" t="str">
        <x:v>engineering_production_planning</x:v>
      </x:c>
      <x:c r="C18" s="176" t="str">
        <x:v>welding</x:v>
      </x:c>
      <x:c r="D18" s="176" t="str">
        <x:v>smoothstep</x:v>
      </x:c>
      <x:c r="E18" s="186" t="b">
        <x:v>0</x:v>
      </x:c>
      <x:c r="F18" s="176" t="str">
        <x:v>Shop Department Software</x:v>
      </x:c>
      <x:c r="G18" s="176" t="str">
        <x:v>Weld package release</x:v>
      </x:c>
      <x:c r="H18" s="176" t="str">
        <x:v>Department Software</x:v>
      </x:c>
      <x:c r="I18" s="176" t="str">
        <x:v>Drawings, fixture notes, WPS requirements, weld map</x:v>
      </x:c>
      <x:c r="J18" s="176" t="str">
        <x:v>#7C3AED</x:v>
      </x:c>
      <x:c r="K18" s="178" t="n">
        <x:v>2</x:v>
      </x:c>
      <x:c r="L18" s="176" t="str"/>
      <x:c r="M18" s="176" t="str"/>
      <x:c r="N18" s="176" t="str"/>
      <x:c r="O18" s="178" t="n">
        <x:v>10</x:v>
      </x:c>
      <x:c r="P18" s="176" t="str">
        <x:v>conn_017</x:v>
      </x:c>
      <x:c r="Q18" s="176" t="str">
        <x:v>system-data-flow</x:v>
      </x:c>
      <x:c r="R18" s="24" t="str">
        <x:v>Notional connection for React data-flow overlay; validate with process owners.</x:v>
      </x:c>
    </x:row>
    <x:row r="19">
      <x:c r="A19" s="23" t="str">
        <x:v>df_conn_018</x:v>
      </x:c>
      <x:c r="B19" s="176" t="str">
        <x:v>laser_waterjet</x:v>
      </x:c>
      <x:c r="C19" s="176" t="str">
        <x:v>grinding_finishing</x:v>
      </x:c>
      <x:c r="D19" s="176" t="str">
        <x:v>smoothstep</x:v>
      </x:c>
      <x:c r="E19" s="186" t="b">
        <x:v>0</x:v>
      </x:c>
      <x:c r="F19" s="176" t="str">
        <x:v>JobBoss2</x:v>
      </x:c>
      <x:c r="G19" s="176" t="str">
        <x:v>Cut completion and status</x:v>
      </x:c>
      <x:c r="H19" s="176" t="str">
        <x:v>ERP/MRP System</x:v>
      </x:c>
      <x:c r="I19" s="176" t="str">
        <x:v>Cut quantity, scrap/remnant, completion status, first-piece result</x:v>
      </x:c>
      <x:c r="J19" s="176" t="str">
        <x:v>#2563EB</x:v>
      </x:c>
      <x:c r="K19" s="178" t="n">
        <x:v>2</x:v>
      </x:c>
      <x:c r="L19" s="176" t="str"/>
      <x:c r="M19" s="176" t="str"/>
      <x:c r="N19" s="176" t="str"/>
      <x:c r="O19" s="178" t="n">
        <x:v>10</x:v>
      </x:c>
      <x:c r="P19" s="176" t="str">
        <x:v>conn_018</x:v>
      </x:c>
      <x:c r="Q19" s="176" t="str">
        <x:v>system-data-flow</x:v>
      </x:c>
      <x:c r="R19" s="24" t="str">
        <x:v>Notional connection for React data-flow overlay; validate with process owners.</x:v>
      </x:c>
    </x:row>
    <x:row r="20">
      <x:c r="A20" s="23" t="str">
        <x:v>df_conn_019</x:v>
      </x:c>
      <x:c r="B20" s="176" t="str">
        <x:v>bending</x:v>
      </x:c>
      <x:c r="C20" s="176" t="str">
        <x:v>grinding_finishing</x:v>
      </x:c>
      <x:c r="D20" s="176" t="str">
        <x:v>smoothstep</x:v>
      </x:c>
      <x:c r="E20" s="186" t="b">
        <x:v>0</x:v>
      </x:c>
      <x:c r="F20" s="176" t="str">
        <x:v>JobBoss2</x:v>
      </x:c>
      <x:c r="G20" s="176" t="str">
        <x:v>Bending completion and status</x:v>
      </x:c>
      <x:c r="H20" s="176" t="str">
        <x:v>ERP/MRP System</x:v>
      </x:c>
      <x:c r="I20" s="176" t="str">
        <x:v>Formed quantity, setup notes, dimensional result, completion status</x:v>
      </x:c>
      <x:c r="J20" s="176" t="str">
        <x:v>#2563EB</x:v>
      </x:c>
      <x:c r="K20" s="178" t="n">
        <x:v>2</x:v>
      </x:c>
      <x:c r="L20" s="176" t="str"/>
      <x:c r="M20" s="176" t="str"/>
      <x:c r="N20" s="176" t="str"/>
      <x:c r="O20" s="178" t="n">
        <x:v>10</x:v>
      </x:c>
      <x:c r="P20" s="176" t="str">
        <x:v>conn_019</x:v>
      </x:c>
      <x:c r="Q20" s="176" t="str">
        <x:v>system-data-flow</x:v>
      </x:c>
      <x:c r="R20" s="24" t="str">
        <x:v>Notional connection for React data-flow overlay; validate with process owners.</x:v>
      </x:c>
    </x:row>
    <x:row r="21">
      <x:c r="A21" s="23" t="str">
        <x:v>df_conn_020</x:v>
      </x:c>
      <x:c r="B21" s="176" t="str">
        <x:v>machining</x:v>
      </x:c>
      <x:c r="C21" s="176" t="str">
        <x:v>grinding_finishing</x:v>
      </x:c>
      <x:c r="D21" s="176" t="str">
        <x:v>smoothstep</x:v>
      </x:c>
      <x:c r="E21" s="186" t="b">
        <x:v>0</x:v>
      </x:c>
      <x:c r="F21" s="176" t="str">
        <x:v>JobBoss2</x:v>
      </x:c>
      <x:c r="G21" s="176" t="str">
        <x:v>Machining completion and status</x:v>
      </x:c>
      <x:c r="H21" s="176" t="str">
        <x:v>ERP/MRP System</x:v>
      </x:c>
      <x:c r="I21" s="176" t="str">
        <x:v>Machined quantity, inspection status, setup/cycle notes, completion status</x:v>
      </x:c>
      <x:c r="J21" s="176" t="str">
        <x:v>#2563EB</x:v>
      </x:c>
      <x:c r="K21" s="178" t="n">
        <x:v>2</x:v>
      </x:c>
      <x:c r="L21" s="176" t="str"/>
      <x:c r="M21" s="176" t="str"/>
      <x:c r="N21" s="176" t="str"/>
      <x:c r="O21" s="178" t="n">
        <x:v>10</x:v>
      </x:c>
      <x:c r="P21" s="176" t="str">
        <x:v>conn_020</x:v>
      </x:c>
      <x:c r="Q21" s="176" t="str">
        <x:v>system-data-flow</x:v>
      </x:c>
      <x:c r="R21" s="24" t="str">
        <x:v>Notional connection for React data-flow overlay; validate with process owners.</x:v>
      </x:c>
    </x:row>
    <x:row r="22">
      <x:c r="A22" s="23" t="str">
        <x:v>df_conn_021</x:v>
      </x:c>
      <x:c r="B22" s="176" t="str">
        <x:v>welding</x:v>
      </x:c>
      <x:c r="C22" s="176" t="str">
        <x:v>grinding_finishing</x:v>
      </x:c>
      <x:c r="D22" s="176" t="str">
        <x:v>smoothstep</x:v>
      </x:c>
      <x:c r="E22" s="186" t="b">
        <x:v>0</x:v>
      </x:c>
      <x:c r="F22" s="176" t="str">
        <x:v>JobBoss2</x:v>
      </x:c>
      <x:c r="G22" s="176" t="str">
        <x:v>Welding completion and status</x:v>
      </x:c>
      <x:c r="H22" s="176" t="str">
        <x:v>ERP/MRP System</x:v>
      </x:c>
      <x:c r="I22" s="176" t="str">
        <x:v>Welded assembly status, inspection status, rework/NCR flag</x:v>
      </x:c>
      <x:c r="J22" s="176" t="str">
        <x:v>#2563EB</x:v>
      </x:c>
      <x:c r="K22" s="178" t="n">
        <x:v>2</x:v>
      </x:c>
      <x:c r="L22" s="176" t="str"/>
      <x:c r="M22" s="176" t="str"/>
      <x:c r="N22" s="176" t="str"/>
      <x:c r="O22" s="178" t="n">
        <x:v>10</x:v>
      </x:c>
      <x:c r="P22" s="176" t="str">
        <x:v>conn_021</x:v>
      </x:c>
      <x:c r="Q22" s="176" t="str">
        <x:v>system-data-flow</x:v>
      </x:c>
      <x:c r="R22" s="24" t="str">
        <x:v>Notional connection for React data-flow overlay; validate with process owners.</x:v>
      </x:c>
    </x:row>
    <x:row r="23">
      <x:c r="A23" s="23" t="str">
        <x:v>df_conn_022</x:v>
      </x:c>
      <x:c r="B23" s="176" t="str">
        <x:v>laser_waterjet</x:v>
      </x:c>
      <x:c r="C23" s="176" t="str">
        <x:v>engineering_production_planning</x:v>
      </x:c>
      <x:c r="D23" s="176" t="str">
        <x:v>smoothstep</x:v>
      </x:c>
      <x:c r="E23" s="186" t="b">
        <x:v>0</x:v>
      </x:c>
      <x:c r="F23" s="176" t="str">
        <x:v>Cut Schedule and Remnant Tracker</x:v>
      </x:c>
      <x:c r="G23" s="176" t="str">
        <x:v>Material utilization feedback</x:v>
      </x:c>
      <x:c r="H23" s="176" t="str">
        <x:v>Spreadsheet/Tracker</x:v>
      </x:c>
      <x:c r="I23" s="176" t="str">
        <x:v>Remnant data, scrap percentage, nest notes, repeat-job improvement notes</x:v>
      </x:c>
      <x:c r="J23" s="176" t="str">
        <x:v>#EA580C</x:v>
      </x:c>
      <x:c r="K23" s="178" t="n">
        <x:v>2</x:v>
      </x:c>
      <x:c r="L23" s="176" t="str">
        <x:v>8 5</x:v>
      </x:c>
      <x:c r="M23" s="176" t="str"/>
      <x:c r="N23" s="176" t="str"/>
      <x:c r="O23" s="178" t="n">
        <x:v>10</x:v>
      </x:c>
      <x:c r="P23" s="176" t="str">
        <x:v>conn_022</x:v>
      </x:c>
      <x:c r="Q23" s="176" t="str">
        <x:v>system-data-flow</x:v>
      </x:c>
      <x:c r="R23" s="24" t="str">
        <x:v>Notional connection for React data-flow overlay; validate with process owners.</x:v>
      </x:c>
    </x:row>
    <x:row r="24">
      <x:c r="A24" s="23" t="str">
        <x:v>df_conn_023</x:v>
      </x:c>
      <x:c r="B24" s="176" t="str">
        <x:v>bending</x:v>
      </x:c>
      <x:c r="C24" s="176" t="str">
        <x:v>engineering_production_planning</x:v>
      </x:c>
      <x:c r="D24" s="176" t="str">
        <x:v>smoothstep</x:v>
      </x:c>
      <x:c r="E24" s="186" t="b">
        <x:v>0</x:v>
      </x:c>
      <x:c r="F24" s="176" t="str">
        <x:v>Bend Setup and Tooling Notes Tracker</x:v>
      </x:c>
      <x:c r="G24" s="176" t="str">
        <x:v>Bend setup feedback</x:v>
      </x:c>
      <x:c r="H24" s="176" t="str">
        <x:v>Spreadsheet/Tracker</x:v>
      </x:c>
      <x:c r="I24" s="176" t="str">
        <x:v>Tooling notes, setup corrections, bend sequence lessons learned</x:v>
      </x:c>
      <x:c r="J24" s="176" t="str">
        <x:v>#EA580C</x:v>
      </x:c>
      <x:c r="K24" s="178" t="n">
        <x:v>2</x:v>
      </x:c>
      <x:c r="L24" s="176" t="str">
        <x:v>8 5</x:v>
      </x:c>
      <x:c r="M24" s="176" t="str"/>
      <x:c r="N24" s="176" t="str"/>
      <x:c r="O24" s="178" t="n">
        <x:v>10</x:v>
      </x:c>
      <x:c r="P24" s="176" t="str">
        <x:v>conn_023</x:v>
      </x:c>
      <x:c r="Q24" s="176" t="str">
        <x:v>system-data-flow</x:v>
      </x:c>
      <x:c r="R24" s="24" t="str">
        <x:v>Notional connection for React data-flow overlay; validate with process owners.</x:v>
      </x:c>
    </x:row>
    <x:row r="25">
      <x:c r="A25" s="23" t="str">
        <x:v>df_conn_024</x:v>
      </x:c>
      <x:c r="B25" s="176" t="str">
        <x:v>machining</x:v>
      </x:c>
      <x:c r="C25" s="176" t="str">
        <x:v>estimating_quoting</x:v>
      </x:c>
      <x:c r="D25" s="176" t="str">
        <x:v>smoothstep</x:v>
      </x:c>
      <x:c r="E25" s="186" t="b">
        <x:v>0</x:v>
      </x:c>
      <x:c r="F25" s="176" t="str">
        <x:v>Tooling and Cycle-Time Tracker</x:v>
      </x:c>
      <x:c r="G25" s="176" t="str">
        <x:v>Actual cycle-time feedback</x:v>
      </x:c>
      <x:c r="H25" s="176" t="str">
        <x:v>Spreadsheet/Tracker</x:v>
      </x:c>
      <x:c r="I25" s="176" t="str">
        <x:v>Setup time, cycle time, tooling notes, variance to estimate</x:v>
      </x:c>
      <x:c r="J25" s="176" t="str">
        <x:v>#EA580C</x:v>
      </x:c>
      <x:c r="K25" s="178" t="n">
        <x:v>2</x:v>
      </x:c>
      <x:c r="L25" s="176" t="str">
        <x:v>8 5</x:v>
      </x:c>
      <x:c r="M25" s="176" t="str"/>
      <x:c r="N25" s="176" t="str"/>
      <x:c r="O25" s="178" t="n">
        <x:v>10</x:v>
      </x:c>
      <x:c r="P25" s="176" t="str">
        <x:v>conn_024</x:v>
      </x:c>
      <x:c r="Q25" s="176" t="str">
        <x:v>system-data-flow</x:v>
      </x:c>
      <x:c r="R25" s="24" t="str">
        <x:v>Notional connection for React data-flow overlay; validate with process owners.</x:v>
      </x:c>
    </x:row>
    <x:row r="26">
      <x:c r="A26" s="23" t="str">
        <x:v>df_conn_025</x:v>
      </x:c>
      <x:c r="B26" s="176" t="str">
        <x:v>welding</x:v>
      </x:c>
      <x:c r="C26" s="176" t="str">
        <x:v>final_quality_assurance</x:v>
      </x:c>
      <x:c r="D26" s="176" t="str">
        <x:v>smoothstep</x:v>
      </x:c>
      <x:c r="E26" s="186" t="b">
        <x:v>0</x:v>
      </x:c>
      <x:c r="F26" s="176" t="str">
        <x:v>UniPoint QMS</x:v>
      </x:c>
      <x:c r="G26" s="176" t="str">
        <x:v>Weld documentation to quality</x:v>
      </x:c>
      <x:c r="H26" s="176" t="str">
        <x:v>QMS / Compliance</x:v>
      </x:c>
      <x:c r="I26" s="176" t="str">
        <x:v>WPS/WPQ records, weld inspection notes, rework/NCR flags</x:v>
      </x:c>
      <x:c r="J26" s="176" t="str">
        <x:v>#DC2626</x:v>
      </x:c>
      <x:c r="K26" s="178" t="n">
        <x:v>2</x:v>
      </x:c>
      <x:c r="L26" s="176" t="str"/>
      <x:c r="M26" s="176" t="str"/>
      <x:c r="N26" s="176" t="str"/>
      <x:c r="O26" s="178" t="n">
        <x:v>10</x:v>
      </x:c>
      <x:c r="P26" s="176" t="str">
        <x:v>conn_025</x:v>
      </x:c>
      <x:c r="Q26" s="176" t="str">
        <x:v>system-data-flow</x:v>
      </x:c>
      <x:c r="R26" s="24" t="str">
        <x:v>Notional connection for React data-flow overlay; validate with process owners.</x:v>
      </x:c>
    </x:row>
    <x:row r="27">
      <x:c r="A27" s="23" t="str">
        <x:v>df_conn_026</x:v>
      </x:c>
      <x:c r="B27" s="176" t="str">
        <x:v>grinding_finishing</x:v>
      </x:c>
      <x:c r="C27" s="176" t="str">
        <x:v>coatings</x:v>
      </x:c>
      <x:c r="D27" s="176" t="str">
        <x:v>smoothstep</x:v>
      </x:c>
      <x:c r="E27" s="186" t="b">
        <x:v>0</x:v>
      </x:c>
      <x:c r="F27" s="176" t="str">
        <x:v>JobBoss2</x:v>
      </x:c>
      <x:c r="G27" s="176" t="str">
        <x:v>Finish readiness for coating</x:v>
      </x:c>
      <x:c r="H27" s="176" t="str">
        <x:v>ERP/MRP System</x:v>
      </x:c>
      <x:c r="I27" s="176" t="str">
        <x:v>Finish completion, coating requirement, outside/internal route, due date</x:v>
      </x:c>
      <x:c r="J27" s="176" t="str">
        <x:v>#2563EB</x:v>
      </x:c>
      <x:c r="K27" s="178" t="n">
        <x:v>2</x:v>
      </x:c>
      <x:c r="L27" s="176" t="str"/>
      <x:c r="M27" s="176" t="str"/>
      <x:c r="N27" s="176" t="str"/>
      <x:c r="O27" s="178" t="n">
        <x:v>10</x:v>
      </x:c>
      <x:c r="P27" s="176" t="str">
        <x:v>conn_026</x:v>
      </x:c>
      <x:c r="Q27" s="176" t="str">
        <x:v>system-data-flow</x:v>
      </x:c>
      <x:c r="R27" s="24" t="str">
        <x:v>Notional connection for React data-flow overlay; validate with process owners.</x:v>
      </x:c>
    </x:row>
    <x:row r="28">
      <x:c r="A28" s="23" t="str">
        <x:v>df_conn_027</x:v>
      </x:c>
      <x:c r="B28" s="176" t="str">
        <x:v>purchasing_supplier_management</x:v>
      </x:c>
      <x:c r="C28" s="176" t="str">
        <x:v>coatings</x:v>
      </x:c>
      <x:c r="D28" s="176" t="str">
        <x:v>smoothstep</x:v>
      </x:c>
      <x:c r="E28" s="186" t="b">
        <x:v>0</x:v>
      </x:c>
      <x:c r="F28" s="176" t="str">
        <x:v>JobBoss2</x:v>
      </x:c>
      <x:c r="G28" s="176" t="str">
        <x:v>Outside-process PO to coating</x:v>
      </x:c>
      <x:c r="H28" s="176" t="str">
        <x:v>ERP/MRP System</x:v>
      </x:c>
      <x:c r="I28" s="176" t="str">
        <x:v>Outside-process PO, supplier, coating specification, promised date</x:v>
      </x:c>
      <x:c r="J28" s="176" t="str">
        <x:v>#2563EB</x:v>
      </x:c>
      <x:c r="K28" s="178" t="n">
        <x:v>2</x:v>
      </x:c>
      <x:c r="L28" s="176" t="str"/>
      <x:c r="M28" s="176" t="str"/>
      <x:c r="N28" s="176" t="str"/>
      <x:c r="O28" s="178" t="n">
        <x:v>10</x:v>
      </x:c>
      <x:c r="P28" s="176" t="str">
        <x:v>conn_027</x:v>
      </x:c>
      <x:c r="Q28" s="176" t="str">
        <x:v>system-data-flow</x:v>
      </x:c>
      <x:c r="R28" s="24" t="str">
        <x:v>Notional connection for React data-flow overlay; validate with process owners.</x:v>
      </x:c>
    </x:row>
    <x:row r="29">
      <x:c r="A29" s="23" t="str">
        <x:v>df_conn_028</x:v>
      </x:c>
      <x:c r="B29" s="176" t="str">
        <x:v>coatings</x:v>
      </x:c>
      <x:c r="C29" s="176" t="str">
        <x:v>final_quality_assurance</x:v>
      </x:c>
      <x:c r="D29" s="176" t="str">
        <x:v>smoothstep</x:v>
      </x:c>
      <x:c r="E29" s="186" t="b">
        <x:v>0</x:v>
      </x:c>
      <x:c r="F29" s="176" t="str">
        <x:v>UniPoint QMS</x:v>
      </x:c>
      <x:c r="G29" s="176" t="str">
        <x:v>Coating cert to quality</x:v>
      </x:c>
      <x:c r="H29" s="176" t="str">
        <x:v>QMS / Compliance</x:v>
      </x:c>
      <x:c r="I29" s="176" t="str">
        <x:v>Coating certificate, inspection results, spec compliance, discrepancy flags</x:v>
      </x:c>
      <x:c r="J29" s="176" t="str">
        <x:v>#DC2626</x:v>
      </x:c>
      <x:c r="K29" s="178" t="n">
        <x:v>2</x:v>
      </x:c>
      <x:c r="L29" s="176" t="str"/>
      <x:c r="M29" s="176" t="str"/>
      <x:c r="N29" s="176" t="str"/>
      <x:c r="O29" s="178" t="n">
        <x:v>10</x:v>
      </x:c>
      <x:c r="P29" s="176" t="str">
        <x:v>conn_028</x:v>
      </x:c>
      <x:c r="Q29" s="176" t="str">
        <x:v>system-data-flow</x:v>
      </x:c>
      <x:c r="R29" s="24" t="str">
        <x:v>Notional connection for React data-flow overlay; validate with process owners.</x:v>
      </x:c>
    </x:row>
    <x:row r="30">
      <x:c r="A30" s="23" t="str">
        <x:v>df_conn_029</x:v>
      </x:c>
      <x:c r="B30" s="176" t="str">
        <x:v>coatings</x:v>
      </x:c>
      <x:c r="C30" s="176" t="str">
        <x:v>marking</x:v>
      </x:c>
      <x:c r="D30" s="176" t="str">
        <x:v>smoothstep</x:v>
      </x:c>
      <x:c r="E30" s="186" t="b">
        <x:v>0</x:v>
      </x:c>
      <x:c r="F30" s="176" t="str">
        <x:v>JobBoss2</x:v>
      </x:c>
      <x:c r="G30" s="176" t="str">
        <x:v>Coating completion to marking</x:v>
      </x:c>
      <x:c r="H30" s="176" t="str">
        <x:v>ERP/MRP System</x:v>
      </x:c>
      <x:c r="I30" s="176" t="str">
        <x:v>Coating completion, part status, serialization/marking readiness</x:v>
      </x:c>
      <x:c r="J30" s="176" t="str">
        <x:v>#2563EB</x:v>
      </x:c>
      <x:c r="K30" s="178" t="n">
        <x:v>2</x:v>
      </x:c>
      <x:c r="L30" s="176" t="str"/>
      <x:c r="M30" s="176" t="str"/>
      <x:c r="N30" s="176" t="str"/>
      <x:c r="O30" s="178" t="n">
        <x:v>10</x:v>
      </x:c>
      <x:c r="P30" s="176" t="str">
        <x:v>conn_029</x:v>
      </x:c>
      <x:c r="Q30" s="176" t="str">
        <x:v>system-data-flow</x:v>
      </x:c>
      <x:c r="R30" s="24" t="str">
        <x:v>Notional connection for React data-flow overlay; validate with process owners.</x:v>
      </x:c>
    </x:row>
    <x:row r="31">
      <x:c r="A31" s="23" t="str">
        <x:v>df_conn_030</x:v>
      </x:c>
      <x:c r="B31" s="176" t="str">
        <x:v>engineering_production_planning</x:v>
      </x:c>
      <x:c r="C31" s="176" t="str">
        <x:v>marking</x:v>
      </x:c>
      <x:c r="D31" s="176" t="str">
        <x:v>smoothstep</x:v>
      </x:c>
      <x:c r="E31" s="186" t="b">
        <x:v>0</x:v>
      </x:c>
      <x:c r="F31" s="176" t="str">
        <x:v>Bartender label software and laser marking controller</x:v>
      </x:c>
      <x:c r="G31" s="176" t="str">
        <x:v>Marking requirement release</x:v>
      </x:c>
      <x:c r="H31" s="176" t="str">
        <x:v>Department Software</x:v>
      </x:c>
      <x:c r="I31" s="176" t="str">
        <x:v>Label templates, serial format, drawing notes, artwork, placement requirement</x:v>
      </x:c>
      <x:c r="J31" s="176" t="str">
        <x:v>#7C3AED</x:v>
      </x:c>
      <x:c r="K31" s="178" t="n">
        <x:v>2</x:v>
      </x:c>
      <x:c r="L31" s="176" t="str"/>
      <x:c r="M31" s="176" t="str"/>
      <x:c r="N31" s="176" t="str"/>
      <x:c r="O31" s="178" t="n">
        <x:v>10</x:v>
      </x:c>
      <x:c r="P31" s="176" t="str">
        <x:v>conn_030</x:v>
      </x:c>
      <x:c r="Q31" s="176" t="str">
        <x:v>system-data-flow</x:v>
      </x:c>
      <x:c r="R31" s="24" t="str">
        <x:v>Notional connection for React data-flow overlay; validate with process owners.</x:v>
      </x:c>
    </x:row>
    <x:row r="32">
      <x:c r="A32" s="23" t="str">
        <x:v>df_conn_031</x:v>
      </x:c>
      <x:c r="B32" s="176" t="str">
        <x:v>marking</x:v>
      </x:c>
      <x:c r="C32" s="176" t="str">
        <x:v>final_quality_assurance</x:v>
      </x:c>
      <x:c r="D32" s="176" t="str">
        <x:v>smoothstep</x:v>
      </x:c>
      <x:c r="E32" s="186" t="b">
        <x:v>0</x:v>
      </x:c>
      <x:c r="F32" s="176" t="str">
        <x:v>UniPoint QMS</x:v>
      </x:c>
      <x:c r="G32" s="176" t="str">
        <x:v>Marking verification to quality</x:v>
      </x:c>
      <x:c r="H32" s="176" t="str">
        <x:v>QMS / Compliance</x:v>
      </x:c>
      <x:c r="I32" s="176" t="str">
        <x:v>Serial/label verification, artwork revision, exception status</x:v>
      </x:c>
      <x:c r="J32" s="176" t="str">
        <x:v>#DC2626</x:v>
      </x:c>
      <x:c r="K32" s="178" t="n">
        <x:v>2</x:v>
      </x:c>
      <x:c r="L32" s="176" t="str"/>
      <x:c r="M32" s="176" t="str"/>
      <x:c r="N32" s="176" t="str"/>
      <x:c r="O32" s="178" t="n">
        <x:v>10</x:v>
      </x:c>
      <x:c r="P32" s="176" t="str">
        <x:v>conn_031</x:v>
      </x:c>
      <x:c r="Q32" s="176" t="str">
        <x:v>system-data-flow</x:v>
      </x:c>
      <x:c r="R32" s="24" t="str">
        <x:v>Notional connection for React data-flow overlay; validate with process owners.</x:v>
      </x:c>
    </x:row>
    <x:row r="33">
      <x:c r="A33" s="23" t="str">
        <x:v>df_conn_032</x:v>
      </x:c>
      <x:c r="B33" s="176" t="str">
        <x:v>marking</x:v>
      </x:c>
      <x:c r="C33" s="176" t="str">
        <x:v>assembly</x:v>
      </x:c>
      <x:c r="D33" s="176" t="str">
        <x:v>smoothstep</x:v>
      </x:c>
      <x:c r="E33" s="186" t="b">
        <x:v>0</x:v>
      </x:c>
      <x:c r="F33" s="176" t="str">
        <x:v>JobBoss2</x:v>
      </x:c>
      <x:c r="G33" s="176" t="str">
        <x:v>Marked parts to assembly</x:v>
      </x:c>
      <x:c r="H33" s="176" t="str">
        <x:v>ERP/MRP System</x:v>
      </x:c>
      <x:c r="I33" s="176" t="str">
        <x:v>Marked part status, serial data, kit readiness, traveler status</x:v>
      </x:c>
      <x:c r="J33" s="176" t="str">
        <x:v>#2563EB</x:v>
      </x:c>
      <x:c r="K33" s="178" t="n">
        <x:v>2</x:v>
      </x:c>
      <x:c r="L33" s="176" t="str"/>
      <x:c r="M33" s="176" t="str"/>
      <x:c r="N33" s="176" t="str"/>
      <x:c r="O33" s="178" t="n">
        <x:v>10</x:v>
      </x:c>
      <x:c r="P33" s="176" t="str">
        <x:v>conn_032</x:v>
      </x:c>
      <x:c r="Q33" s="176" t="str">
        <x:v>system-data-flow</x:v>
      </x:c>
      <x:c r="R33" s="24" t="str">
        <x:v>Notional connection for React data-flow overlay; validate with process owners.</x:v>
      </x:c>
    </x:row>
    <x:row r="34">
      <x:c r="A34" s="23" t="str">
        <x:v>df_conn_033</x:v>
      </x:c>
      <x:c r="B34" s="176" t="str">
        <x:v>engineering_production_planning</x:v>
      </x:c>
      <x:c r="C34" s="176" t="str">
        <x:v>assembly</x:v>
      </x:c>
      <x:c r="D34" s="176" t="str">
        <x:v>smoothstep</x:v>
      </x:c>
      <x:c r="E34" s="186" t="b">
        <x:v>0</x:v>
      </x:c>
      <x:c r="F34" s="176" t="str">
        <x:v>Digital Work Instructions / Kitting App</x:v>
      </x:c>
      <x:c r="G34" s="176" t="str">
        <x:v>Assembly instruction release</x:v>
      </x:c>
      <x:c r="H34" s="176" t="str">
        <x:v>Department Software</x:v>
      </x:c>
      <x:c r="I34" s="176" t="str">
        <x:v>Work instructions, kit list, photos, torque/spec checks, drawings</x:v>
      </x:c>
      <x:c r="J34" s="176" t="str">
        <x:v>#7C3AED</x:v>
      </x:c>
      <x:c r="K34" s="178" t="n">
        <x:v>2</x:v>
      </x:c>
      <x:c r="L34" s="176" t="str"/>
      <x:c r="M34" s="176" t="str"/>
      <x:c r="N34" s="176" t="str"/>
      <x:c r="O34" s="178" t="n">
        <x:v>10</x:v>
      </x:c>
      <x:c r="P34" s="176" t="str">
        <x:v>conn_033</x:v>
      </x:c>
      <x:c r="Q34" s="176" t="str">
        <x:v>system-data-flow</x:v>
      </x:c>
      <x:c r="R34" s="24" t="str">
        <x:v>Notional connection for React data-flow overlay; validate with process owners.</x:v>
      </x:c>
    </x:row>
    <x:row r="35">
      <x:c r="A35" s="23" t="str">
        <x:v>df_conn_034</x:v>
      </x:c>
      <x:c r="B35" s="176" t="str">
        <x:v>assembly</x:v>
      </x:c>
      <x:c r="C35" s="176" t="str">
        <x:v>purchasing_supplier_management</x:v>
      </x:c>
      <x:c r="D35" s="176" t="str">
        <x:v>smoothstep</x:v>
      </x:c>
      <x:c r="E35" s="186" t="b">
        <x:v>0</x:v>
      </x:c>
      <x:c r="F35" s="176" t="str">
        <x:v>Assembly Shortage and Build Issue Tracker</x:v>
      </x:c>
      <x:c r="G35" s="176" t="str">
        <x:v>Assembly shortage feedback</x:v>
      </x:c>
      <x:c r="H35" s="176" t="str">
        <x:v>Spreadsheet/Tracker</x:v>
      </x:c>
      <x:c r="I35" s="176" t="str">
        <x:v>Shortage item, missing hardware, build issue, required date, owner</x:v>
      </x:c>
      <x:c r="J35" s="176" t="str">
        <x:v>#EA580C</x:v>
      </x:c>
      <x:c r="K35" s="178" t="n">
        <x:v>2</x:v>
      </x:c>
      <x:c r="L35" s="176" t="str">
        <x:v>8 5</x:v>
      </x:c>
      <x:c r="M35" s="176" t="str"/>
      <x:c r="N35" s="176" t="str"/>
      <x:c r="O35" s="178" t="n">
        <x:v>10</x:v>
      </x:c>
      <x:c r="P35" s="176" t="str">
        <x:v>conn_034</x:v>
      </x:c>
      <x:c r="Q35" s="176" t="str">
        <x:v>system-data-flow</x:v>
      </x:c>
      <x:c r="R35" s="24" t="str">
        <x:v>Notional connection for React data-flow overlay; validate with process owners.</x:v>
      </x:c>
    </x:row>
    <x:row r="36">
      <x:c r="A36" s="23" t="str">
        <x:v>df_conn_035</x:v>
      </x:c>
      <x:c r="B36" s="176" t="str">
        <x:v>assembly</x:v>
      </x:c>
      <x:c r="C36" s="176" t="str">
        <x:v>testing</x:v>
      </x:c>
      <x:c r="D36" s="176" t="str">
        <x:v>smoothstep</x:v>
      </x:c>
      <x:c r="E36" s="186" t="b">
        <x:v>0</x:v>
      </x:c>
      <x:c r="F36" s="176" t="str">
        <x:v>JobBoss2</x:v>
      </x:c>
      <x:c r="G36" s="176" t="str">
        <x:v>Build completion to test</x:v>
      </x:c>
      <x:c r="H36" s="176" t="str">
        <x:v>ERP/MRP System</x:v>
      </x:c>
      <x:c r="I36" s="176" t="str">
        <x:v>Assembly completion, shortage closure, build record, test-ready status</x:v>
      </x:c>
      <x:c r="J36" s="176" t="str">
        <x:v>#2563EB</x:v>
      </x:c>
      <x:c r="K36" s="178" t="n">
        <x:v>2</x:v>
      </x:c>
      <x:c r="L36" s="176" t="str"/>
      <x:c r="M36" s="176" t="str"/>
      <x:c r="N36" s="176" t="str"/>
      <x:c r="O36" s="178" t="n">
        <x:v>10</x:v>
      </x:c>
      <x:c r="P36" s="176" t="str">
        <x:v>conn_035</x:v>
      </x:c>
      <x:c r="Q36" s="176" t="str">
        <x:v>system-data-flow</x:v>
      </x:c>
      <x:c r="R36" s="24" t="str">
        <x:v>Notional connection for React data-flow overlay; validate with process owners.</x:v>
      </x:c>
    </x:row>
    <x:row r="37">
      <x:c r="A37" s="23" t="str">
        <x:v>df_conn_036</x:v>
      </x:c>
      <x:c r="B37" s="176" t="str">
        <x:v>testing</x:v>
      </x:c>
      <x:c r="C37" s="176" t="str">
        <x:v>final_quality_assurance</x:v>
      </x:c>
      <x:c r="D37" s="176" t="str">
        <x:v>smoothstep</x:v>
      </x:c>
      <x:c r="E37" s="186" t="b">
        <x:v>0</x:v>
      </x:c>
      <x:c r="F37" s="176" t="str">
        <x:v>LabVIEW/test bench software and calibration database</x:v>
      </x:c>
      <x:c r="G37" s="176" t="str">
        <x:v>Test results to final quality</x:v>
      </x:c>
      <x:c r="H37" s="176" t="str">
        <x:v>Department Software</x:v>
      </x:c>
      <x:c r="I37" s="176" t="str">
        <x:v>Measurements, limits, pass/fail, equipment, calibration status, report</x:v>
      </x:c>
      <x:c r="J37" s="176" t="str">
        <x:v>#7C3AED</x:v>
      </x:c>
      <x:c r="K37" s="178" t="n">
        <x:v>2</x:v>
      </x:c>
      <x:c r="L37" s="176" t="str"/>
      <x:c r="M37" s="176" t="str"/>
      <x:c r="N37" s="176" t="str"/>
      <x:c r="O37" s="178" t="n">
        <x:v>10</x:v>
      </x:c>
      <x:c r="P37" s="176" t="str">
        <x:v>conn_036</x:v>
      </x:c>
      <x:c r="Q37" s="176" t="str">
        <x:v>system-data-flow</x:v>
      </x:c>
      <x:c r="R37" s="24" t="str">
        <x:v>Notional connection for React data-flow overlay; validate with process owners.</x:v>
      </x:c>
    </x:row>
    <x:row r="38">
      <x:c r="A38" s="23" t="str">
        <x:v>df_conn_037</x:v>
      </x:c>
      <x:c r="B38" s="176" t="str">
        <x:v>testing</x:v>
      </x:c>
      <x:c r="C38" s="176" t="str">
        <x:v>final_quality_assurance</x:v>
      </x:c>
      <x:c r="D38" s="176" t="str">
        <x:v>smoothstep</x:v>
      </x:c>
      <x:c r="E38" s="186" t="b">
        <x:v>1</x:v>
      </x:c>
      <x:c r="F38" s="176" t="str">
        <x:v>AI test-result anomaly and report generator</x:v>
      </x:c>
      <x:c r="G38" s="176" t="str">
        <x:v>Test anomaly alert</x:v>
      </x:c>
      <x:c r="H38" s="176" t="str">
        <x:v>AI/Automation</x:v>
      </x:c>
      <x:c r="I38" s="176" t="str">
        <x:v>Outliers, pass/fail concerns, draft report narrative, retest suggestion</x:v>
      </x:c>
      <x:c r="J38" s="176" t="str">
        <x:v>#047857</x:v>
      </x:c>
      <x:c r="K38" s="178" t="n">
        <x:v>3</x:v>
      </x:c>
      <x:c r="L38" s="176" t="str">
        <x:v>2 5</x:v>
      </x:c>
      <x:c r="M38" s="176" t="str"/>
      <x:c r="N38" s="176" t="str"/>
      <x:c r="O38" s="178" t="n">
        <x:v>10</x:v>
      </x:c>
      <x:c r="P38" s="176" t="str">
        <x:v>conn_037</x:v>
      </x:c>
      <x:c r="Q38" s="176" t="str">
        <x:v>system-data-flow</x:v>
      </x:c>
      <x:c r="R38" s="24" t="str">
        <x:v>Notional connection for React data-flow overlay; validate with process owners.</x:v>
      </x:c>
    </x:row>
    <x:row r="39">
      <x:c r="A39" s="23" t="str">
        <x:v>df_conn_038</x:v>
      </x:c>
      <x:c r="B39" s="176" t="str">
        <x:v>final_quality_assurance</x:v>
      </x:c>
      <x:c r="C39" s="176" t="str">
        <x:v>shipping_customer_delivery</x:v>
      </x:c>
      <x:c r="D39" s="176" t="str">
        <x:v>smoothstep</x:v>
      </x:c>
      <x:c r="E39" s="186" t="b">
        <x:v>0</x:v>
      </x:c>
      <x:c r="F39" s="176" t="str">
        <x:v>JobBoss2</x:v>
      </x:c>
      <x:c r="G39" s="176" t="str">
        <x:v>Final release to shipping</x:v>
      </x:c>
      <x:c r="H39" s="176" t="str">
        <x:v>ERP/MRP System</x:v>
      </x:c>
      <x:c r="I39" s="176" t="str">
        <x:v>Release status, cert packet complete flag, shipment hold/release, invoice trigger</x:v>
      </x:c>
      <x:c r="J39" s="176" t="str">
        <x:v>#2563EB</x:v>
      </x:c>
      <x:c r="K39" s="178" t="n">
        <x:v>2</x:v>
      </x:c>
      <x:c r="L39" s="176" t="str"/>
      <x:c r="M39" s="176" t="str"/>
      <x:c r="N39" s="176" t="str"/>
      <x:c r="O39" s="178" t="n">
        <x:v>10</x:v>
      </x:c>
      <x:c r="P39" s="176" t="str">
        <x:v>conn_038</x:v>
      </x:c>
      <x:c r="Q39" s="176" t="str">
        <x:v>system-data-flow</x:v>
      </x:c>
      <x:c r="R39" s="24" t="str">
        <x:v>Notional connection for React data-flow overlay; validate with process owners.</x:v>
      </x:c>
    </x:row>
    <x:row r="40">
      <x:c r="A40" s="23" t="str">
        <x:v>df_conn_039</x:v>
      </x:c>
      <x:c r="B40" s="176" t="str">
        <x:v>final_quality_assurance</x:v>
      </x:c>
      <x:c r="C40" s="176" t="str">
        <x:v>shipping_customer_delivery</x:v>
      </x:c>
      <x:c r="D40" s="176" t="str">
        <x:v>smoothstep</x:v>
      </x:c>
      <x:c r="E40" s="186" t="b">
        <x:v>0</x:v>
      </x:c>
      <x:c r="F40" s="176" t="str">
        <x:v>UniPoint QMS</x:v>
      </x:c>
      <x:c r="G40" s="176" t="str">
        <x:v>Cert packet to shipping</x:v>
      </x:c>
      <x:c r="H40" s="176" t="str">
        <x:v>QMS / Compliance</x:v>
      </x:c>
      <x:c r="I40" s="176" t="str">
        <x:v>Final inspection approval, cert package, traveler signoff, documentation checklist</x:v>
      </x:c>
      <x:c r="J40" s="176" t="str">
        <x:v>#DC2626</x:v>
      </x:c>
      <x:c r="K40" s="178" t="n">
        <x:v>2</x:v>
      </x:c>
      <x:c r="L40" s="176" t="str"/>
      <x:c r="M40" s="176" t="str"/>
      <x:c r="N40" s="176" t="str"/>
      <x:c r="O40" s="178" t="n">
        <x:v>10</x:v>
      </x:c>
      <x:c r="P40" s="176" t="str">
        <x:v>conn_039</x:v>
      </x:c>
      <x:c r="Q40" s="176" t="str">
        <x:v>system-data-flow</x:v>
      </x:c>
      <x:c r="R40" s="24" t="str">
        <x:v>Notional connection for React data-flow overlay; validate with process owners.</x:v>
      </x:c>
    </x:row>
    <x:row r="41">
      <x:c r="A41" s="23" t="str">
        <x:v>df_conn_040</x:v>
      </x:c>
      <x:c r="B41" s="176" t="str">
        <x:v>shipping_customer_delivery</x:v>
      </x:c>
      <x:c r="C41" s="176" t="str">
        <x:v>sales_customer_opportunities</x:v>
      </x:c>
      <x:c r="D41" s="176" t="str">
        <x:v>smoothstep</x:v>
      </x:c>
      <x:c r="E41" s="186" t="b">
        <x:v>0</x:v>
      </x:c>
      <x:c r="F41" s="176" t="str">
        <x:v>HubSpot CRM and Microsoft Outlook</x:v>
      </x:c>
      <x:c r="G41" s="176" t="str">
        <x:v>Delivery feedback loop</x:v>
      </x:c>
      <x:c r="H41" s="176" t="str">
        <x:v>Department Software</x:v>
      </x:c>
      <x:c r="I41" s="176" t="str">
        <x:v>Tracking number, delivery confirmation, customer notification, follow-up opportunity</x:v>
      </x:c>
      <x:c r="J41" s="176" t="str">
        <x:v>#7C3AED</x:v>
      </x:c>
      <x:c r="K41" s="178" t="n">
        <x:v>2</x:v>
      </x:c>
      <x:c r="L41" s="176" t="str">
        <x:v>8 5</x:v>
      </x:c>
      <x:c r="M41" s="176" t="str"/>
      <x:c r="N41" s="176" t="str"/>
      <x:c r="O41" s="178" t="n">
        <x:v>10</x:v>
      </x:c>
      <x:c r="P41" s="176" t="str">
        <x:v>conn_040</x:v>
      </x:c>
      <x:c r="Q41" s="176" t="str">
        <x:v>system-data-flow</x:v>
      </x:c>
      <x:c r="R41" s="24" t="str">
        <x:v>Notional connection for React data-flow overlay; validate with process owners.</x:v>
      </x:c>
    </x:row>
    <x:row r="42">
      <x:c r="A42" s="23" t="str">
        <x:v>df_conn_041</x:v>
      </x:c>
      <x:c r="B42" s="176" t="str">
        <x:v>project_management</x:v>
      </x:c>
      <x:c r="C42" s="176" t="str">
        <x:v>purchasing_supplier_management</x:v>
      </x:c>
      <x:c r="D42" s="176" t="str">
        <x:v>smoothstep</x:v>
      </x:c>
      <x:c r="E42" s="186" t="b">
        <x:v>1</x:v>
      </x:c>
      <x:c r="F42" s="176" t="str">
        <x:v>AI project risk summary and blocker digest</x:v>
      </x:c>
      <x:c r="G42" s="176" t="str">
        <x:v>Material risk escalation</x:v>
      </x:c>
      <x:c r="H42" s="176" t="str">
        <x:v>AI/Automation</x:v>
      </x:c>
      <x:c r="I42" s="176" t="str">
        <x:v>Late material risk, shortage impact, supplier ETA, next best action</x:v>
      </x:c>
      <x:c r="J42" s="176" t="str">
        <x:v>#047857</x:v>
      </x:c>
      <x:c r="K42" s="178" t="n">
        <x:v>3</x:v>
      </x:c>
      <x:c r="L42" s="176" t="str">
        <x:v>2 5</x:v>
      </x:c>
      <x:c r="M42" s="176" t="str"/>
      <x:c r="N42" s="176" t="str"/>
      <x:c r="O42" s="178" t="n">
        <x:v>10</x:v>
      </x:c>
      <x:c r="P42" s="176" t="str">
        <x:v>conn_041</x:v>
      </x:c>
      <x:c r="Q42" s="176" t="str">
        <x:v>system-data-flow</x:v>
      </x:c>
      <x:c r="R42" s="24" t="str">
        <x:v>Notional connection for React data-flow overlay; validate with process owners.</x:v>
      </x:c>
    </x:row>
    <x:row r="43">
      <x:c r="A43" s="23" t="str">
        <x:v>df_conn_042</x:v>
      </x:c>
      <x:c r="B43" s="176" t="str">
        <x:v>final_quality_assurance</x:v>
      </x:c>
      <x:c r="C43" s="176" t="str">
        <x:v>engineering_production_planning</x:v>
      </x:c>
      <x:c r="D43" s="176" t="str">
        <x:v>smoothstep</x:v>
      </x:c>
      <x:c r="E43" s="186" t="b">
        <x:v>0</x:v>
      </x:c>
      <x:c r="F43" s="176" t="str">
        <x:v>UniPoint QMS</x:v>
      </x:c>
      <x:c r="G43" s="176" t="str">
        <x:v>NCR/CAR feedback to engineering</x:v>
      </x:c>
      <x:c r="H43" s="176" t="str">
        <x:v>QMS / Compliance</x:v>
      </x:c>
      <x:c r="I43" s="176" t="str">
        <x:v>NCR trend, recurring defect, drawing/process correction request</x:v>
      </x:c>
      <x:c r="J43" s="176" t="str">
        <x:v>#DC2626</x:v>
      </x:c>
      <x:c r="K43" s="178" t="n">
        <x:v>2</x:v>
      </x:c>
      <x:c r="L43" s="176" t="str"/>
      <x:c r="M43" s="176" t="str"/>
      <x:c r="N43" s="176" t="str"/>
      <x:c r="O43" s="178" t="n">
        <x:v>10</x:v>
      </x:c>
      <x:c r="P43" s="176" t="str">
        <x:v>conn_042</x:v>
      </x:c>
      <x:c r="Q43" s="176" t="str">
        <x:v>system-data-flow</x:v>
      </x:c>
      <x:c r="R43" s="24" t="str">
        <x:v>Notional connection for React data-flow overlay; validate with process owners.</x:v>
      </x:c>
    </x:row>
    <x:row r="44">
      <x:c r="A44" s="23" t="str">
        <x:v>df_conn_043</x:v>
      </x:c>
      <x:c r="B44" s="176" t="str">
        <x:v>estimating_quoting</x:v>
      </x:c>
      <x:c r="C44" s="176" t="str">
        <x:v>engineering_production_planning</x:v>
      </x:c>
      <x:c r="D44" s="176" t="str">
        <x:v>smoothstep</x:v>
      </x:c>
      <x:c r="E44" s="186" t="b">
        <x:v>1</x:v>
      </x:c>
      <x:c r="F44" s="176" t="str">
        <x:v>AI quote comparison and manufacturability screener</x:v>
      </x:c>
      <x:c r="G44" s="176" t="str">
        <x:v>Quote risk to engineering planning</x:v>
      </x:c>
      <x:c r="H44" s="176" t="str">
        <x:v>AI/Automation</x:v>
      </x:c>
      <x:c r="I44" s="176" t="str">
        <x:v>Manufacturability flags, estimate assumptions, prior-job comparisons</x:v>
      </x:c>
      <x:c r="J44" s="176" t="str">
        <x:v>#047857</x:v>
      </x:c>
      <x:c r="K44" s="178" t="n">
        <x:v>3</x:v>
      </x:c>
      <x:c r="L44" s="176" t="str">
        <x:v>2 5</x:v>
      </x:c>
      <x:c r="M44" s="176" t="str"/>
      <x:c r="N44" s="176" t="str"/>
      <x:c r="O44" s="178" t="n">
        <x:v>10</x:v>
      </x:c>
      <x:c r="P44" s="176" t="str">
        <x:v>conn_043</x:v>
      </x:c>
      <x:c r="Q44" s="176" t="str">
        <x:v>system-data-flow</x:v>
      </x:c>
      <x:c r="R44" s="24" t="str">
        <x:v>Notional connection for React data-flow overlay; validate with process owners.</x:v>
      </x:c>
    </x:row>
    <x:row r="45">
      <x:c r="A45" s="23" t="str">
        <x:v>df_conn_044</x:v>
      </x:c>
      <x:c r="B45" s="176" t="str">
        <x:v>receiving_material_control</x:v>
      </x:c>
      <x:c r="C45" s="176" t="str">
        <x:v>purchasing_supplier_management</x:v>
      </x:c>
      <x:c r="D45" s="176" t="str">
        <x:v>smoothstep</x:v>
      </x:c>
      <x:c r="E45" s="186" t="b">
        <x:v>0</x:v>
      </x:c>
      <x:c r="F45" s="176" t="str">
        <x:v>Receiving Hold and Cert Review Log</x:v>
      </x:c>
      <x:c r="G45" s="176" t="str">
        <x:v>Receiving discrepancy feedback</x:v>
      </x:c>
      <x:c r="H45" s="176" t="str">
        <x:v>Spreadsheet/Tracker</x:v>
      </x:c>
      <x:c r="I45" s="176" t="str">
        <x:v>Missing certs, damaged material, incorrect quantity, supplier follow-up needed</x:v>
      </x:c>
      <x:c r="J45" s="176" t="str">
        <x:v>#EA580C</x:v>
      </x:c>
      <x:c r="K45" s="178" t="n">
        <x:v>2</x:v>
      </x:c>
      <x:c r="L45" s="176" t="str">
        <x:v>8 5</x:v>
      </x:c>
      <x:c r="M45" s="176" t="str"/>
      <x:c r="N45" s="176" t="str"/>
      <x:c r="O45" s="178" t="n">
        <x:v>10</x:v>
      </x:c>
      <x:c r="P45" s="176" t="str">
        <x:v>conn_044</x:v>
      </x:c>
      <x:c r="Q45" s="176" t="str">
        <x:v>system-data-flow</x:v>
      </x:c>
      <x:c r="R45" s="24" t="str">
        <x:v>Notional connection for React data-flow overlay; validate with process owners.</x:v>
      </x:c>
    </x:row>
  </x:sheetData>
  <x:dataValidations count="2">
    <x:dataValidation type="list" sqref="D2:D45">
      <x:formula1>"smoothstep,step,default"</x:formula1>
    </x:dataValidation>
    <x:dataValidation type="list" sqref="H2:H45">
      <x:formula1>"ERP/MRP System,Department Software,Spreadsheet/Tracker,AI/Automation,QMS / Compliance"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bd3b049abc4d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40" hidden="0" customWidth="1"/>
    <x:col min="5" max="5" width="52" hidden="0" customWidth="1"/>
  </x:cols>
  <x:sheetData>
    <x:row r="1">
      <x:c r="A1" s="37" t="str">
        <x:v>React Flow Import Mapping</x:v>
      </x:c>
    </x:row>
    <x:row r="3">
      <x:c r="A3" s="11" t="str">
        <x:v>source_sheet</x:v>
      </x:c>
      <x:c r="B3" s="11" t="str">
        <x:v>excel_column</x:v>
      </x:c>
      <x:c r="C3" s="11" t="str">
        <x:v>react_field</x:v>
      </x:c>
      <x:c r="D3" s="11" t="str">
        <x:v>use</x:v>
      </x:c>
      <x:c r="E3" s="11" t="str">
        <x:v>notes</x:v>
      </x:c>
    </x:row>
    <x:row r="4">
      <x:c r="A4" s="21" t="str">
        <x:v>Flowchart Nodes</x:v>
      </x:c>
      <x:c r="B4" s="175" t="str">
        <x:v>node_id</x:v>
      </x:c>
      <x:c r="C4" s="175" t="str">
        <x:v>id</x:v>
      </x:c>
      <x:c r="D4" s="175" t="str">
        <x:v>nodes[].id</x:v>
      </x:c>
      <x:c r="E4" s="22" t="str">
        <x:v>Stable React node id. Use this in edge source/target.</x:v>
      </x:c>
    </x:row>
    <x:row r="5">
      <x:c r="A5" s="23" t="str">
        <x:v>Flowchart Nodes</x:v>
      </x:c>
      <x:c r="B5" s="176" t="str">
        <x:v>label</x:v>
      </x:c>
      <x:c r="C5" s="176" t="str">
        <x:v>data.label</x:v>
      </x:c>
      <x:c r="D5" s="176" t="str">
        <x:v>nodes[].data.label</x:v>
      </x:c>
      <x:c r="E5" s="24" t="str">
        <x:v>Primary visible node label.</x:v>
      </x:c>
    </x:row>
    <x:row r="6">
      <x:c r="A6" s="23" t="str">
        <x:v>Flowchart Nodes</x:v>
      </x:c>
      <x:c r="B6" s="176" t="str">
        <x:v>lane</x:v>
      </x:c>
      <x:c r="C6" s="176" t="str">
        <x:v>data.lane</x:v>
      </x:c>
      <x:c r="D6" s="176" t="str">
        <x:v>nodes[].data.lane</x:v>
      </x:c>
      <x:c r="E6" s="24" t="str">
        <x:v>Use for lane grouping, filters, and swimlane labels.</x:v>
      </x:c>
    </x:row>
    <x:row r="7">
      <x:c r="A7" s="23" t="str">
        <x:v>Flowchart Nodes</x:v>
      </x:c>
      <x:c r="B7" s="176" t="str">
        <x:v>flowchart_key</x:v>
      </x:c>
      <x:c r="C7" s="176" t="str">
        <x:v>data.flowchartKey</x:v>
      </x:c>
      <x:c r="D7" s="176" t="str">
        <x:v>nodes[].data.flowchartKey</x:v>
      </x:c>
      <x:c r="E7" s="24" t="str">
        <x:v>Matches Mermaid A-R keys.</x:v>
      </x:c>
    </x:row>
    <x:row r="8">
      <x:c r="A8" s="23" t="str">
        <x:v>Flowchart Nodes</x:v>
      </x:c>
      <x:c r="B8" s="176" t="str">
        <x:v>react_node_type</x:v>
      </x:c>
      <x:c r="C8" s="176" t="str">
        <x:v>type</x:v>
      </x:c>
      <x:c r="D8" s="176" t="str">
        <x:v>nodes[].type</x:v>
      </x:c>
      <x:c r="E8" s="24" t="str">
        <x:v>Maps to your custom React Flow node components.</x:v>
      </x:c>
    </x:row>
    <x:row r="9">
      <x:c r="A9" s="23" t="str">
        <x:v>Flowchart Nodes</x:v>
      </x:c>
      <x:c r="B9" s="176" t="str">
        <x:v>x</x:v>
      </x:c>
      <x:c r="C9" s="176" t="str">
        <x:v>position.x</x:v>
      </x:c>
      <x:c r="D9" s="176" t="str">
        <x:v>nodes[].position.x</x:v>
      </x:c>
      <x:c r="E9" s="24" t="str">
        <x:v>Initial horizontal layout position.</x:v>
      </x:c>
    </x:row>
    <x:row r="10">
      <x:c r="A10" s="23" t="str">
        <x:v>Flowchart Nodes</x:v>
      </x:c>
      <x:c r="B10" s="176" t="str">
        <x:v>y</x:v>
      </x:c>
      <x:c r="C10" s="176" t="str">
        <x:v>position.y</x:v>
      </x:c>
      <x:c r="D10" s="176" t="str">
        <x:v>nodes[].position.y</x:v>
      </x:c>
      <x:c r="E10" s="24" t="str">
        <x:v>Initial vertical layout position.</x:v>
      </x:c>
    </x:row>
    <x:row r="11">
      <x:c r="A11" s="23" t="str">
        <x:v>Flowchart Nodes</x:v>
      </x:c>
      <x:c r="B11" s="176" t="str">
        <x:v>width</x:v>
      </x:c>
      <x:c r="C11" s="176" t="str">
        <x:v>style.width</x:v>
      </x:c>
      <x:c r="D11" s="176" t="str">
        <x:v>nodes[].style.width</x:v>
      </x:c>
      <x:c r="E11" s="24" t="str">
        <x:v>Optional node width.</x:v>
      </x:c>
    </x:row>
    <x:row r="12">
      <x:c r="A12" s="23" t="str">
        <x:v>Flowchart Nodes</x:v>
      </x:c>
      <x:c r="B12" s="176" t="str">
        <x:v>height</x:v>
      </x:c>
      <x:c r="C12" s="176" t="str">
        <x:v>style.height</x:v>
      </x:c>
      <x:c r="D12" s="176" t="str">
        <x:v>nodes[].style.height</x:v>
      </x:c>
      <x:c r="E12" s="24" t="str">
        <x:v>Optional node height.</x:v>
      </x:c>
    </x:row>
    <x:row r="13">
      <x:c r="A13" s="23" t="str">
        <x:v>Flowchart Nodes</x:v>
      </x:c>
      <x:c r="B13" s="176" t="str">
        <x:v>fill_color</x:v>
      </x:c>
      <x:c r="C13" s="176" t="str">
        <x:v>style.background</x:v>
      </x:c>
      <x:c r="D13" s="176" t="str">
        <x:v>nodes[].style.background</x:v>
      </x:c>
      <x:c r="E13" s="24" t="str">
        <x:v>Initial node fill color.</x:v>
      </x:c>
    </x:row>
    <x:row r="14">
      <x:c r="A14" s="23" t="str">
        <x:v>Flowchart Nodes</x:v>
      </x:c>
      <x:c r="B14" s="176" t="str">
        <x:v>border_color</x:v>
      </x:c>
      <x:c r="C14" s="176" t="str">
        <x:v>style.borderColor</x:v>
      </x:c>
      <x:c r="D14" s="176" t="str">
        <x:v>nodes[].style.borderColor</x:v>
      </x:c>
      <x:c r="E14" s="24" t="str">
        <x:v>Initial node border color.</x:v>
      </x:c>
    </x:row>
    <x:row r="15">
      <x:c r="A15" s="23" t="str">
        <x:v>Flowchart Edges</x:v>
      </x:c>
      <x:c r="B15" s="176" t="str">
        <x:v>edge_id</x:v>
      </x:c>
      <x:c r="C15" s="176" t="str">
        <x:v>id</x:v>
      </x:c>
      <x:c r="D15" s="176" t="str">
        <x:v>edges[].id</x:v>
      </x:c>
      <x:c r="E15" s="24" t="str">
        <x:v>Stable React edge id.</x:v>
      </x:c>
    </x:row>
    <x:row r="16">
      <x:c r="A16" s="23" t="str">
        <x:v>Flowchart Edges</x:v>
      </x:c>
      <x:c r="B16" s="176" t="str">
        <x:v>source_node_id</x:v>
      </x:c>
      <x:c r="C16" s="176" t="str">
        <x:v>source</x:v>
      </x:c>
      <x:c r="D16" s="176" t="str">
        <x:v>edges[].source</x:v>
      </x:c>
      <x:c r="E16" s="24" t="str">
        <x:v>Must match Flowchart Nodes node_id.</x:v>
      </x:c>
    </x:row>
    <x:row r="17">
      <x:c r="A17" s="23" t="str">
        <x:v>Flowchart Edges</x:v>
      </x:c>
      <x:c r="B17" s="176" t="str">
        <x:v>target_node_id</x:v>
      </x:c>
      <x:c r="C17" s="176" t="str">
        <x:v>target</x:v>
      </x:c>
      <x:c r="D17" s="176" t="str">
        <x:v>edges[].target</x:v>
      </x:c>
      <x:c r="E17" s="24" t="str">
        <x:v>Must match Flowchart Nodes node_id.</x:v>
      </x:c>
    </x:row>
    <x:row r="18">
      <x:c r="A18" s="23" t="str">
        <x:v>Flowchart Edges</x:v>
      </x:c>
      <x:c r="B18" s="176" t="str">
        <x:v>edge_type</x:v>
      </x:c>
      <x:c r="C18" s="176" t="str">
        <x:v>type</x:v>
      </x:c>
      <x:c r="D18" s="176" t="str">
        <x:v>edges[].type</x:v>
      </x:c>
      <x:c r="E18" s="24" t="str">
        <x:v>Recommended React Flow edge type.</x:v>
      </x:c>
    </x:row>
    <x:row r="19">
      <x:c r="A19" s="23" t="str">
        <x:v>Flowchart Edges</x:v>
      </x:c>
      <x:c r="B19" s="176" t="str">
        <x:v>label</x:v>
      </x:c>
      <x:c r="C19" s="176" t="str">
        <x:v>label</x:v>
      </x:c>
      <x:c r="D19" s="176" t="str">
        <x:v>edges[].label</x:v>
      </x:c>
      <x:c r="E19" s="24" t="str">
        <x:v>Optional edge label for branch releases.</x:v>
      </x:c>
    </x:row>
    <x:row r="20">
      <x:c r="A20" s="23" t="str">
        <x:v>Process Software</x:v>
      </x:c>
      <x:c r="B20" s="176" t="str">
        <x:v>node_id</x:v>
      </x:c>
      <x:c r="C20" s="176" t="str">
        <x:v>join key</x:v>
      </x:c>
      <x:c r="D20" s="176" t="str">
        <x:v>data.software[]</x:v>
      </x:c>
      <x:c r="E20" s="24" t="str">
        <x:v>Join software rows to nodes by node_id for details panel.</x:v>
      </x:c>
    </x:row>
    <x:row r="21">
      <x:c r="A21" s="23" t="str">
        <x:v>Shared Systems</x:v>
      </x:c>
      <x:c r="B21" s="176" t="str">
        <x:v>system_name</x:v>
      </x:c>
      <x:c r="C21" s="176" t="str">
        <x:v>lookup key</x:v>
      </x:c>
      <x:c r="D21" s="176" t="str">
        <x:v>systemLegend[]</x:v>
      </x:c>
      <x:c r="E21" s="24" t="str">
        <x:v>Use as a legend for colored system/data lines.</x:v>
      </x:c>
    </x:row>
    <x:row r="22">
      <x:c r="A22" s="23" t="str">
        <x:v>System Connections</x:v>
      </x:c>
      <x:c r="B22" s="176" t="str">
        <x:v>connection_id</x:v>
      </x:c>
      <x:c r="C22" s="176" t="str">
        <x:v>lookup key</x:v>
      </x:c>
      <x:c r="D22" s="176" t="str">
        <x:v>connectionDetails[]</x:v>
      </x:c>
      <x:c r="E22" s="24" t="str">
        <x:v>Use for tooltips, side panels, and audit details for each data-flow edge.</x:v>
      </x:c>
    </x:row>
    <x:row r="23">
      <x:c r="A23" s="23" t="str">
        <x:v>System Connections</x:v>
      </x:c>
      <x:c r="B23" s="176" t="str">
        <x:v>data_transmitted</x:v>
      </x:c>
      <x:c r="C23" s="176" t="str">
        <x:v>data.dataTransmitted</x:v>
      </x:c>
      <x:c r="D23" s="176" t="str">
        <x:v>dataFlowEdges[].data.dataTransmitted</x:v>
      </x:c>
      <x:c r="E23" s="24" t="str">
        <x:v>Show what information moves across the line.</x:v>
      </x:c>
    </x:row>
    <x:row r="24">
      <x:c r="A24" s="23" t="str">
        <x:v>System Connections</x:v>
      </x:c>
      <x:c r="B24" s="176" t="str">
        <x:v>automation_role</x:v>
      </x:c>
      <x:c r="C24" s="176" t="str">
        <x:v>data.automationRole</x:v>
      </x:c>
      <x:c r="D24" s="176" t="str">
        <x:v>dataFlowEdges[].data.automationRole</x:v>
      </x:c>
      <x:c r="E24" s="24" t="str">
        <x:v>Explain whether the connection is manual, system generated, or AI assisted.</x:v>
      </x:c>
    </x:row>
    <x:row r="25">
      <x:c r="A25" s="23" t="str">
        <x:v>Data Flow Edges</x:v>
      </x:c>
      <x:c r="B25" s="176" t="str">
        <x:v>edge_id</x:v>
      </x:c>
      <x:c r="C25" s="176" t="str">
        <x:v>id</x:v>
      </x:c>
      <x:c r="D25" s="176" t="str">
        <x:v>dataFlowEdges[].id</x:v>
      </x:c>
      <x:c r="E25" s="24" t="str">
        <x:v>React Flow edge id for software/data overlay.</x:v>
      </x:c>
    </x:row>
    <x:row r="26">
      <x:c r="A26" s="23" t="str">
        <x:v>Data Flow Edges</x:v>
      </x:c>
      <x:c r="B26" s="176" t="str">
        <x:v>source_node_id</x:v>
      </x:c>
      <x:c r="C26" s="176" t="str">
        <x:v>source</x:v>
      </x:c>
      <x:c r="D26" s="176" t="str">
        <x:v>dataFlowEdges[].source</x:v>
      </x:c>
      <x:c r="E26" s="24" t="str">
        <x:v>Must match Flowchart Nodes node_id.</x:v>
      </x:c>
    </x:row>
    <x:row r="27">
      <x:c r="A27" s="23" t="str">
        <x:v>Data Flow Edges</x:v>
      </x:c>
      <x:c r="B27" s="176" t="str">
        <x:v>target_node_id</x:v>
      </x:c>
      <x:c r="C27" s="176" t="str">
        <x:v>target</x:v>
      </x:c>
      <x:c r="D27" s="176" t="str">
        <x:v>dataFlowEdges[].target</x:v>
      </x:c>
      <x:c r="E27" s="24" t="str">
        <x:v>Must match Flowchart Nodes node_id.</x:v>
      </x:c>
    </x:row>
    <x:row r="28">
      <x:c r="A28" s="23" t="str">
        <x:v>Data Flow Edges</x:v>
      </x:c>
      <x:c r="B28" s="176" t="str">
        <x:v>label</x:v>
      </x:c>
      <x:c r="C28" s="176" t="str">
        <x:v>label</x:v>
      </x:c>
      <x:c r="D28" s="176" t="str">
        <x:v>dataFlowEdges[].label</x:v>
      </x:c>
      <x:c r="E28" s="24" t="str">
        <x:v>Recommended label is the system name.</x:v>
      </x:c>
    </x:row>
    <x:row r="29">
      <x:c r="A29" s="23" t="str">
        <x:v>Data Flow Edges</x:v>
      </x:c>
      <x:c r="B29" s="176" t="str">
        <x:v>stroke_color</x:v>
      </x:c>
      <x:c r="C29" s="176" t="str">
        <x:v>style.stroke</x:v>
      </x:c>
      <x:c r="D29" s="176" t="str">
        <x:v>dataFlowEdges[].style.stroke</x:v>
      </x:c>
      <x:c r="E29" s="24" t="str">
        <x:v>Use blue ERP, purple department software, orange tracker, red QMS, green AI.</x:v>
      </x:c>
    </x:row>
    <x:row r="30">
      <x:c r="A30" s="23" t="str">
        <x:v>Data Flow Edges</x:v>
      </x:c>
      <x:c r="B30" s="176" t="str">
        <x:v>stroke_width</x:v>
      </x:c>
      <x:c r="C30" s="176" t="str">
        <x:v>style.strokeWidth</x:v>
      </x:c>
      <x:c r="D30" s="176" t="str">
        <x:v>dataFlowEdges[].style.strokeWidth</x:v>
      </x:c>
      <x:c r="E30" s="24" t="str">
        <x:v>Line thickness for React rendering.</x:v>
      </x:c>
    </x:row>
    <x:row r="31">
      <x:c r="A31" s="23" t="str">
        <x:v>Data Flow Edges</x:v>
      </x:c>
      <x:c r="B31" s="176" t="str">
        <x:v>stroke_dasharray</x:v>
      </x:c>
      <x:c r="C31" s="176" t="str">
        <x:v>style.strokeDasharray</x:v>
      </x:c>
      <x:c r="D31" s="176" t="str">
        <x:v>dataFlowEdges[].style.strokeDasharray</x:v>
      </x:c>
      <x:c r="E31" s="24" t="str">
        <x:v>Dash/dot pattern for trackers and AI.</x:v>
      </x:c>
    </x:row>
    <x:row r="32">
      <x:c r="A32" s="23" t="str">
        <x:v>Data Flow Edges</x:v>
      </x:c>
      <x:c r="B32" s="176" t="str">
        <x:v>animated</x:v>
      </x:c>
      <x:c r="C32" s="176" t="str">
        <x:v>animated</x:v>
      </x:c>
      <x:c r="D32" s="176" t="str">
        <x:v>dataFlowEdges[].animated</x:v>
      </x:c>
      <x:c r="E32" s="24" t="str">
        <x:v>Use true for AI/proposed automations.</x:v>
      </x:c>
    </x:row>
    <x:row r="36">
      <x:c r="A36" s="11" t="str">
        <x:v>Suggested React data shape</x:v>
      </x:c>
      <x:c r="B36" s="11"/>
      <x:c r="C36" s="11"/>
      <x:c r="D36" s="11"/>
      <x:c r="E36" s="11"/>
    </x:row>
    <x:row r="37">
      <x:c r="A37" s="32" t="str">
        <x:v>nodes = Flowchart Nodes rows mapped to { id, type, position: { x, y }, data, style }. processEdges = Flowchart Edges rows for the basic shop flow. dataFlowEdges = Data Flow Edges rows mapped to { id, source, target, type, label, animated, style: { stroke, strokeWidth, strokeDasharray }, data: { connectionId, systemCategory, dataTransmitted } }. Join System Connections on connection_id for tooltips and detail panels, and Shared Systems for the legend.</x:v>
      </x:c>
    </x:row>
  </x:sheetData>
  <x:mergeCells>
    <x:mergeCell ref="A1:E1"/>
    <x:mergeCell ref="A36:E36"/>
    <x:mergeCell ref="A37:E45"/>
  </x:mergeCells>
  <x:pageMargins left="0.7" right="0.7" top="0.75" bottom="0.75" header="0.3" footer="0.3"/>
  <x:tableParts count="1">
    <x:tablePart xmlns:r="http://schemas.openxmlformats.org/officeDocument/2006/relationships" r:id="R0a62e056803d460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2" hidden="0" customWidth="1"/>
  </x:cols>
  <x:sheetData>
    <x:row r="1">
      <x:c r="A1" s="11" t="str">
        <x:v>line</x:v>
      </x:c>
      <x:c r="B1" s="11" t="str">
        <x:v>mermaid_code</x:v>
      </x:c>
    </x:row>
    <x:row r="2">
      <x:c r="A2" s="187" t="n">
        <x:v>1</x:v>
      </x:c>
      <x:c r="B2" s="22" t="str">
        <x:v>flowchart TD</x:v>
      </x:c>
    </x:row>
    <x:row r="3">
      <x:c r="A3" s="188" t="n">
        <x:v>2</x:v>
      </x:c>
      <x:c r="B3" s="24" t="str">
        <x:v>    A["Sales &amp; Customer Opportunities"] --&gt; B["Estimating &amp; Quoting"]</x:v>
      </x:c>
    </x:row>
    <x:row r="4">
      <x:c r="A4" s="188" t="n">
        <x:v>3</x:v>
      </x:c>
      <x:c r="B4" s="24" t="str">
        <x:v>    B --&gt; C["Order Review &amp; Processing"]</x:v>
      </x:c>
    </x:row>
    <x:row r="5">
      <x:c r="A5" s="188" t="n">
        <x:v>4</x:v>
      </x:c>
      <x:c r="B5" s="24" t="str">
        <x:v>    C --&gt; D["Engineering &amp; Production Planning"]</x:v>
      </x:c>
    </x:row>
    <x:row r="6">
      <x:c r="A6" s="188" t="n">
        <x:v>5</x:v>
      </x:c>
      <x:c r="B6" s="24" t="str">
        <x:v>    D --&gt; E["Purchasing &amp; Supplier Management"]</x:v>
      </x:c>
    </x:row>
    <x:row r="7">
      <x:c r="A7" s="188" t="n">
        <x:v>6</x:v>
      </x:c>
      <x:c r="B7" s="24" t="str">
        <x:v>    E --&gt; F["Receiving &amp; Material Control"]</x:v>
      </x:c>
    </x:row>
    <x:row r="8">
      <x:c r="A8" s="188" t="n">
        <x:v>7</x:v>
      </x:c>
      <x:c r="B8" s="24" t="str">
        <x:v>    F --&gt; G["Project Management"]</x:v>
      </x:c>
    </x:row>
    <x:row r="9">
      <x:c r="A9" s="188" t="n">
        <x:v>8</x:v>
      </x:c>
      <x:c r="B9" s="24" t="str"/>
    </x:row>
    <x:row r="10">
      <x:c r="A10" s="188" t="n">
        <x:v>9</x:v>
      </x:c>
      <x:c r="B10" s="24" t="str">
        <x:v>    G --&gt; H["Laser &amp; Waterjet"]</x:v>
      </x:c>
    </x:row>
    <x:row r="11">
      <x:c r="A11" s="188" t="n">
        <x:v>10</x:v>
      </x:c>
      <x:c r="B11" s="24" t="str">
        <x:v>    G --&gt; I["Bending"]</x:v>
      </x:c>
    </x:row>
    <x:row r="12">
      <x:c r="A12" s="188" t="n">
        <x:v>11</x:v>
      </x:c>
      <x:c r="B12" s="24" t="str">
        <x:v>    G --&gt; J["Machining"]</x:v>
      </x:c>
    </x:row>
    <x:row r="13">
      <x:c r="A13" s="188" t="n">
        <x:v>12</x:v>
      </x:c>
      <x:c r="B13" s="24" t="str">
        <x:v>    G --&gt; K["Welding"]</x:v>
      </x:c>
    </x:row>
    <x:row r="14">
      <x:c r="A14" s="188" t="n">
        <x:v>13</x:v>
      </x:c>
      <x:c r="B14" s="24" t="str"/>
    </x:row>
    <x:row r="15">
      <x:c r="A15" s="188" t="n">
        <x:v>14</x:v>
      </x:c>
      <x:c r="B15" s="24" t="str">
        <x:v>    H --&gt; L["Grinding &amp; Finishing"]</x:v>
      </x:c>
    </x:row>
    <x:row r="16">
      <x:c r="A16" s="188" t="n">
        <x:v>15</x:v>
      </x:c>
      <x:c r="B16" s="24" t="str">
        <x:v>    I --&gt; L</x:v>
      </x:c>
    </x:row>
    <x:row r="17">
      <x:c r="A17" s="188" t="n">
        <x:v>16</x:v>
      </x:c>
      <x:c r="B17" s="24" t="str">
        <x:v>    J --&gt; L</x:v>
      </x:c>
    </x:row>
    <x:row r="18">
      <x:c r="A18" s="188" t="n">
        <x:v>17</x:v>
      </x:c>
      <x:c r="B18" s="24" t="str">
        <x:v>    K --&gt; L</x:v>
      </x:c>
    </x:row>
    <x:row r="19">
      <x:c r="A19" s="188" t="n">
        <x:v>18</x:v>
      </x:c>
      <x:c r="B19" s="24" t="str"/>
    </x:row>
    <x:row r="20">
      <x:c r="A20" s="188" t="n">
        <x:v>19</x:v>
      </x:c>
      <x:c r="B20" s="24" t="str">
        <x:v>    L --&gt; M["Coatings"]</x:v>
      </x:c>
    </x:row>
    <x:row r="21">
      <x:c r="A21" s="188" t="n">
        <x:v>20</x:v>
      </x:c>
      <x:c r="B21" s="24" t="str">
        <x:v>    M --&gt; N["Marking"]</x:v>
      </x:c>
    </x:row>
    <x:row r="22">
      <x:c r="A22" s="188" t="n">
        <x:v>21</x:v>
      </x:c>
      <x:c r="B22" s="24" t="str">
        <x:v>    N --&gt; O["Assembly"]</x:v>
      </x:c>
    </x:row>
    <x:row r="23">
      <x:c r="A23" s="188" t="n">
        <x:v>22</x:v>
      </x:c>
      <x:c r="B23" s="24" t="str">
        <x:v>    O --&gt; P["Testing"]</x:v>
      </x:c>
    </x:row>
    <x:row r="24">
      <x:c r="A24" s="188" t="n">
        <x:v>23</x:v>
      </x:c>
      <x:c r="B24" s="24" t="str">
        <x:v>    P --&gt; Q["Final Quality Assurance"]</x:v>
      </x:c>
    </x:row>
    <x:row r="25">
      <x:c r="A25" s="188" t="n">
        <x:v>24</x:v>
      </x:c>
      <x:c r="B25" s="24" t="str">
        <x:v>    Q --&gt; R["Shipping &amp; Customer Delivery"]</x:v>
      </x:c>
    </x:row>
  </x:sheetData>
  <x:pageMargins left="0.7" right="0.7" top="0.75" bottom="0.75" header="0.3" footer="0.3"/>
  <x:tableParts count="1">
    <x:tablePart xmlns:r="http://schemas.openxmlformats.org/officeDocument/2006/relationships" r:id="R8927dba98cb14f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24" hidden="0" customWidth="1"/>
    <x:col min="5" max="5" width="18" hidden="0" customWidth="1"/>
    <x:col min="6" max="6" width="24" hidden="0" customWidth="1"/>
    <x:col min="7" max="7" width="16" hidden="0" customWidth="1"/>
    <x:col min="8" max="8" width="28" hidden="0" customWidth="1"/>
    <x:col min="9" max="9" width="30" hidden="0" customWidth="1"/>
  </x:cols>
  <x:sheetData>
    <x:row r="1">
      <x:c r="A1" s="11" t="str">
        <x:v>lanes</x:v>
      </x:c>
      <x:c r="B1" s="11" t="str">
        <x:v>statuses</x:v>
      </x:c>
      <x:c r="C1" s="11" t="str">
        <x:v>node_roles</x:v>
      </x:c>
      <x:c r="D1" s="11" t="str">
        <x:v>react_node_types</x:v>
      </x:c>
      <x:c r="E1" s="11" t="str">
        <x:v>edge_types</x:v>
      </x:c>
      <x:c r="F1" s="11" t="str">
        <x:v>system_categories</x:v>
      </x:c>
      <x:c r="G1" s="11" t="str">
        <x:v>line_styles</x:v>
      </x:c>
      <x:c r="H1" s="11" t="str">
        <x:v>software_categories</x:v>
      </x:c>
      <x:c r="I1" s="11" t="str">
        <x:v>objectives</x:v>
      </x:c>
    </x:row>
    <x:row r="2">
      <x:c r="A2" s="21" t="str">
        <x:v>Sales &amp; Quoting</x:v>
      </x:c>
      <x:c r="B2" s="175" t="str">
        <x:v>Current State</x:v>
      </x:c>
      <x:c r="C2" s="175" t="str">
        <x:v>Input</x:v>
      </x:c>
      <x:c r="D2" s="175" t="str">
        <x:v>inputNode</x:v>
      </x:c>
      <x:c r="E2" s="175" t="str">
        <x:v>smoothstep</x:v>
      </x:c>
      <x:c r="F2" s="175" t="str">
        <x:v>ERP/MRP System</x:v>
      </x:c>
      <x:c r="G2" s="175" t="str">
        <x:v>solid</x:v>
      </x:c>
      <x:c r="H2" s="175" t="str">
        <x:v>ERP/MRP System</x:v>
      </x:c>
      <x:c r="I2" s="22" t="str">
        <x:v>Time savings</x:v>
      </x:c>
    </x:row>
    <x:row r="3">
      <x:c r="A3" s="23" t="str">
        <x:v>Order Processing</x:v>
      </x:c>
      <x:c r="B3" s="176" t="str">
        <x:v>In Review</x:v>
      </x:c>
      <x:c r="C3" s="176" t="str">
        <x:v>Process</x:v>
      </x:c>
      <x:c r="D3" s="176" t="str">
        <x:v>processNode</x:v>
      </x:c>
      <x:c r="E3" s="176" t="str">
        <x:v>step</x:v>
      </x:c>
      <x:c r="F3" s="176" t="str">
        <x:v>Department Software</x:v>
      </x:c>
      <x:c r="G3" s="176" t="str">
        <x:v>dash</x:v>
      </x:c>
      <x:c r="H3" s="176" t="str">
        <x:v>Department Software</x:v>
      </x:c>
      <x:c r="I3" s="24" t="str">
        <x:v>Process improvement</x:v>
      </x:c>
    </x:row>
    <x:row r="4">
      <x:c r="A4" s="23" t="str">
        <x:v>Engineering &amp; Planning</x:v>
      </x:c>
      <x:c r="B4" s="176" t="str">
        <x:v>Active Project</x:v>
      </x:c>
      <x:c r="C4" s="176" t="str">
        <x:v>Control</x:v>
      </x:c>
      <x:c r="D4" s="176" t="str">
        <x:v>controlNode</x:v>
      </x:c>
      <x:c r="E4" s="176" t="str">
        <x:v>default</x:v>
      </x:c>
      <x:c r="F4" s="176" t="str">
        <x:v>Spreadsheet/Tracker</x:v>
      </x:c>
      <x:c r="G4" s="176" t="str">
        <x:v>dot</x:v>
      </x:c>
      <x:c r="H4" s="176" t="str">
        <x:v>Spreadsheet/Tracker</x:v>
      </x:c>
      <x:c r="I4" s="24" t="str">
        <x:v>Product quality</x:v>
      </x:c>
    </x:row>
    <x:row r="5">
      <x:c r="A5" s="23" t="str">
        <x:v>Supply Chain</x:v>
      </x:c>
      <x:c r="B5" s="176" t="str">
        <x:v>Future Opportunity</x:v>
      </x:c>
      <x:c r="C5" s="176" t="str">
        <x:v>Work Center</x:v>
      </x:c>
      <x:c r="D5" s="176" t="str">
        <x:v>manufacturingNode</x:v>
      </x:c>
      <x:c r="E5" s="176" t="str"/>
      <x:c r="F5" s="176" t="str">
        <x:v>AI/Automation</x:v>
      </x:c>
      <x:c r="G5" s="176" t="str"/>
      <x:c r="H5" s="176" t="str">
        <x:v>AI/Automation</x:v>
      </x:c>
      <x:c r="I5" s="24" t="str">
        <x:v>Individual skill enhancement</x:v>
      </x:c>
    </x:row>
    <x:row r="6">
      <x:c r="A6" s="23" t="str">
        <x:v>Project Management</x:v>
      </x:c>
      <x:c r="B6" s="176" t="str">
        <x:v>Not Started</x:v>
      </x:c>
      <x:c r="C6" s="176" t="str">
        <x:v>Convergence</x:v>
      </x:c>
      <x:c r="D6" s="176" t="str">
        <x:v>qualityGateNode</x:v>
      </x:c>
      <x:c r="E6" s="176" t="str"/>
      <x:c r="F6" s="176" t="str">
        <x:v>QMS / Compliance</x:v>
      </x:c>
      <x:c r="G6" s="176" t="str"/>
      <x:c r="H6" s="176" t="str"/>
      <x:c r="I6" s="24" t="str"/>
    </x:row>
    <x:row r="7">
      <x:c r="A7" s="23" t="str">
        <x:v>Manufacturing</x:v>
      </x:c>
      <x:c r="B7" s="176" t="str"/>
      <x:c r="C7" s="176" t="str">
        <x:v>Quality Gate</x:v>
      </x:c>
      <x:c r="D7" s="176" t="str">
        <x:v>outputNode</x:v>
      </x:c>
      <x:c r="E7" s="176" t="str"/>
      <x:c r="F7" s="176" t="str"/>
      <x:c r="G7" s="176" t="str"/>
      <x:c r="H7" s="176" t="str"/>
      <x:c r="I7" s="24" t="str"/>
    </x:row>
    <x:row r="8">
      <x:c r="A8" s="23" t="str">
        <x:v>Finishing &amp; Special Processes</x:v>
      </x:c>
      <x:c r="B8" s="176" t="str"/>
      <x:c r="C8" s="176" t="str">
        <x:v>Output</x:v>
      </x:c>
      <x:c r="D8" s="176" t="str"/>
      <x:c r="E8" s="176" t="str"/>
      <x:c r="F8" s="176" t="str"/>
      <x:c r="G8" s="176" t="str"/>
      <x:c r="H8" s="176" t="str"/>
      <x:c r="I8" s="24" t="str"/>
    </x:row>
    <x:row r="9">
      <x:c r="A9" s="23" t="str">
        <x:v>Assembly &amp; Test</x:v>
      </x:c>
      <x:c r="B9" s="176" t="str"/>
      <x:c r="C9" s="176" t="str"/>
      <x:c r="D9" s="176" t="str"/>
      <x:c r="E9" s="176" t="str"/>
      <x:c r="F9" s="176" t="str"/>
      <x:c r="G9" s="176" t="str"/>
      <x:c r="H9" s="176" t="str"/>
      <x:c r="I9" s="24" t="str"/>
    </x:row>
    <x:row r="10">
      <x:c r="A10" s="23" t="str">
        <x:v>Quality Assurance</x:v>
      </x:c>
      <x:c r="B10" s="176" t="str"/>
      <x:c r="C10" s="176" t="str"/>
      <x:c r="D10" s="176" t="str"/>
      <x:c r="E10" s="176" t="str"/>
      <x:c r="F10" s="176" t="str"/>
      <x:c r="G10" s="176" t="str"/>
      <x:c r="H10" s="176" t="str"/>
      <x:c r="I10" s="24" t="str"/>
    </x:row>
    <x:row r="11">
      <x:c r="A11" s="23" t="str">
        <x:v>Shipping</x:v>
      </x:c>
      <x:c r="B11" s="176" t="str"/>
      <x:c r="C11" s="176" t="str"/>
      <x:c r="D11" s="176" t="str"/>
      <x:c r="E11" s="176" t="str"/>
      <x:c r="F11" s="176" t="str"/>
      <x:c r="G11" s="176" t="str"/>
      <x:c r="H11" s="176" t="str"/>
      <x:c r="I11" s="24" t="str"/>
    </x:row>
  </x:sheetData>
  <x:pageMargins left="0.7" right="0.7" top="0.75" bottom="0.75" header="0.3" footer="0.3"/>
  <x:tableParts count="1">
    <x:tablePart xmlns:r="http://schemas.openxmlformats.org/officeDocument/2006/relationships" r:id="R3a49d587814a4eb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4" hidden="0" customWidth="1"/>
    <x:col min="5" max="5" width="70" hidden="0" customWidth="1"/>
  </x:cols>
  <x:sheetData>
    <x:row r="1">
      <x:c r="A1" s="11" t="str">
        <x:v>sheet</x:v>
      </x:c>
      <x:c r="B1" s="11" t="str">
        <x:v>field_or_section</x:v>
      </x:c>
      <x:c r="C1" s="11" t="str">
        <x:v>type</x:v>
      </x:c>
      <x:c r="D1" s="11" t="str">
        <x:v>required</x:v>
      </x:c>
      <x:c r="E1" s="11" t="str">
        <x:v>description</x:v>
      </x:c>
    </x:row>
    <x:row r="2">
      <x:c r="A2" s="21" t="str">
        <x:v>Overview</x:v>
      </x:c>
      <x:c r="B2" s="175" t="str">
        <x:v>Metrics</x:v>
      </x:c>
      <x:c r="C2" s="175" t="str">
        <x:v>Formula</x:v>
      </x:c>
      <x:c r="D2" s="175" t="str">
        <x:v>No</x:v>
      </x:c>
      <x:c r="E2" s="22" t="str">
        <x:v>Dashboard checks for node, process-edge, shared-system, system-connection, data-flow-edge, software, ERP/MRP, AI automation, and work-center counts.</x:v>
      </x:c>
    </x:row>
    <x:row r="3">
      <x:c r="A3" s="23" t="str">
        <x:v>Flowchart View</x:v>
      </x:c>
      <x:c r="B3" s="176" t="str">
        <x:v>Visual Blueprint</x:v>
      </x:c>
      <x:c r="C3" s="176" t="str">
        <x:v>Reference</x:v>
      </x:c>
      <x:c r="D3" s="176" t="str">
        <x:v>No</x:v>
      </x:c>
      <x:c r="E3" s="24" t="str">
        <x:v>Human-readable sketch of the shop flow matching the node and edge tables.</x:v>
      </x:c>
    </x:row>
    <x:row r="4">
      <x:c r="A4" s="23" t="str">
        <x:v>Flowchart Nodes</x:v>
      </x:c>
      <x:c r="B4" s="176" t="str">
        <x:v>flowchart_key</x:v>
      </x:c>
      <x:c r="C4" s="176" t="str">
        <x:v>Text</x:v>
      </x:c>
      <x:c r="D4" s="176" t="str">
        <x:v>Yes</x:v>
      </x:c>
      <x:c r="E4" s="24" t="str">
        <x:v>Original Mermaid flowchart key from A through R.</x:v>
      </x:c>
    </x:row>
    <x:row r="5">
      <x:c r="A5" s="23" t="str">
        <x:v>Flowchart Nodes</x:v>
      </x:c>
      <x:c r="B5" s="176" t="str">
        <x:v>node_id</x:v>
      </x:c>
      <x:c r="C5" s="176" t="str">
        <x:v>Text</x:v>
      </x:c>
      <x:c r="D5" s="176" t="str">
        <x:v>Yes</x:v>
      </x:c>
      <x:c r="E5" s="24" t="str">
        <x:v>Stable React node identifier used by edges.</x:v>
      </x:c>
    </x:row>
    <x:row r="6">
      <x:c r="A6" s="23" t="str">
        <x:v>Flowchart Nodes</x:v>
      </x:c>
      <x:c r="B6" s="176" t="str">
        <x:v>x/y</x:v>
      </x:c>
      <x:c r="C6" s="176" t="str">
        <x:v>Number</x:v>
      </x:c>
      <x:c r="D6" s="176" t="str">
        <x:v>Yes</x:v>
      </x:c>
      <x:c r="E6" s="24" t="str">
        <x:v>Initial React Flow node position.</x:v>
      </x:c>
    </x:row>
    <x:row r="7">
      <x:c r="A7" s="23" t="str">
        <x:v>Flowchart Nodes</x:v>
      </x:c>
      <x:c r="B7" s="176" t="str">
        <x:v>fill_color/border_color</x:v>
      </x:c>
      <x:c r="C7" s="176" t="str">
        <x:v>Text</x:v>
      </x:c>
      <x:c r="D7" s="176" t="str">
        <x:v>No</x:v>
      </x:c>
      <x:c r="E7" s="24" t="str">
        <x:v>Hex colors for initial React node styling.</x:v>
      </x:c>
    </x:row>
    <x:row r="8">
      <x:c r="A8" s="23" t="str">
        <x:v>Flowchart Edges</x:v>
      </x:c>
      <x:c r="B8" s="176" t="str">
        <x:v>source_node_id/target_node_id</x:v>
      </x:c>
      <x:c r="C8" s="176" t="str">
        <x:v>Text</x:v>
      </x:c>
      <x:c r="D8" s="176" t="str">
        <x:v>Yes</x:v>
      </x:c>
      <x:c r="E8" s="24" t="str">
        <x:v>Basic process-flow edge endpoints. Must match Flowchart Nodes node_id values.</x:v>
      </x:c>
    </x:row>
    <x:row r="9">
      <x:c r="A9" s="23" t="str">
        <x:v>Process Register</x:v>
      </x:c>
      <x:c r="B9" s="176" t="str">
        <x:v>process_owner</x:v>
      </x:c>
      <x:c r="C9" s="176" t="str">
        <x:v>Text</x:v>
      </x:c>
      <x:c r="D9" s="176" t="str">
        <x:v>No</x:v>
      </x:c>
      <x:c r="E9" s="24" t="str">
        <x:v>Notional owner by lane; replace with the responsible Tabet process owner during validation.</x:v>
      </x:c>
    </x:row>
    <x:row r="10">
      <x:c r="A10" s="23" t="str">
        <x:v>Process Register</x:v>
      </x:c>
      <x:c r="B10" s="176" t="str">
        <x:v>erp_mrp_notional</x:v>
      </x:c>
      <x:c r="C10" s="176" t="str">
        <x:v>Text</x:v>
      </x:c>
      <x:c r="D10" s="176" t="str">
        <x:v>No</x:v>
      </x:c>
      <x:c r="E10" s="24" t="str">
        <x:v>Notional ERP/MRP example connected to each process node.</x:v>
      </x:c>
    </x:row>
    <x:row r="11">
      <x:c r="A11" s="23" t="str">
        <x:v>Process Register</x:v>
      </x:c>
      <x:c r="B11" s="176" t="str">
        <x:v>ai_automation_notional</x:v>
      </x:c>
      <x:c r="C11" s="176" t="str">
        <x:v>Text</x:v>
      </x:c>
      <x:c r="D11" s="176" t="str">
        <x:v>No</x:v>
      </x:c>
      <x:c r="E11" s="24" t="str">
        <x:v>Notional AI/automation example connected to each process node.</x:v>
      </x:c>
    </x:row>
    <x:row r="12">
      <x:c r="A12" s="23" t="str">
        <x:v>Process Software</x:v>
      </x:c>
      <x:c r="B12" s="176" t="str">
        <x:v>software_category</x:v>
      </x:c>
      <x:c r="C12" s="176" t="str">
        <x:v>List</x:v>
      </x:c>
      <x:c r="D12" s="176" t="str">
        <x:v>Yes</x:v>
      </x:c>
      <x:c r="E12" s="24" t="str">
        <x:v>Repeatable notional software inventory rows per process for detail panels.</x:v>
      </x:c>
    </x:row>
    <x:row r="13">
      <x:c r="A13" s="23" t="str">
        <x:v>Shared Systems</x:v>
      </x:c>
      <x:c r="B13" s="176" t="str">
        <x:v>system_name</x:v>
      </x:c>
      <x:c r="C13" s="176" t="str">
        <x:v>Text</x:v>
      </x:c>
      <x:c r="D13" s="176" t="str">
        <x:v>Yes</x:v>
      </x:c>
      <x:c r="E13" s="24" t="str">
        <x:v>Reusable system legend for ERP/MRP, QMS, department software, trackers, and AI automation lines.</x:v>
      </x:c>
    </x:row>
    <x:row r="14">
      <x:c r="A14" s="23" t="str">
        <x:v>Shared Systems</x:v>
      </x:c>
      <x:c r="B14" s="176" t="str">
        <x:v>line_color/line_style</x:v>
      </x:c>
      <x:c r="C14" s="176" t="str">
        <x:v>Text</x:v>
      </x:c>
      <x:c r="D14" s="176" t="str">
        <x:v>No</x:v>
      </x:c>
      <x:c r="E14" s="24" t="str">
        <x:v>Recommended visual style for each category of system/data connection.</x:v>
      </x:c>
    </x:row>
    <x:row r="15">
      <x:c r="A15" s="23" t="str">
        <x:v>System Connections</x:v>
      </x:c>
      <x:c r="B15" s="176" t="str">
        <x:v>connection_id</x:v>
      </x:c>
      <x:c r="C15" s="176" t="str">
        <x:v>Text</x:v>
      </x:c>
      <x:c r="D15" s="176" t="str">
        <x:v>Yes</x:v>
      </x:c>
      <x:c r="E15" s="24" t="str">
        <x:v>Stable connection identifier joining business connection detail to React data-flow edge.</x:v>
      </x:c>
    </x:row>
    <x:row r="16">
      <x:c r="A16" s="23" t="str">
        <x:v>System Connections</x:v>
      </x:c>
      <x:c r="B16" s="176" t="str">
        <x:v>source_node_id/target_node_id</x:v>
      </x:c>
      <x:c r="C16" s="176" t="str">
        <x:v>Text</x:v>
      </x:c>
      <x:c r="D16" s="176" t="str">
        <x:v>Yes</x:v>
      </x:c>
      <x:c r="E16" s="24" t="str">
        <x:v>Process-to-process data movement endpoints. Must match Flowchart Nodes node_id values.</x:v>
      </x:c>
    </x:row>
    <x:row r="17">
      <x:c r="A17" s="23" t="str">
        <x:v>System Connections</x:v>
      </x:c>
      <x:c r="B17" s="176" t="str">
        <x:v>data_transmitted</x:v>
      </x:c>
      <x:c r="C17" s="176" t="str">
        <x:v>Text</x:v>
      </x:c>
      <x:c r="D17" s="176" t="str">
        <x:v>Yes</x:v>
      </x:c>
      <x:c r="E17" s="24" t="str">
        <x:v>Describes the information transferred from source process to target process.</x:v>
      </x:c>
    </x:row>
    <x:row r="18">
      <x:c r="A18" s="23" t="str">
        <x:v>System Connections</x:v>
      </x:c>
      <x:c r="B18" s="176" t="str">
        <x:v>automation_role</x:v>
      </x:c>
      <x:c r="C18" s="176" t="str">
        <x:v>Text</x:v>
      </x:c>
      <x:c r="D18" s="176" t="str">
        <x:v>No</x:v>
      </x:c>
      <x:c r="E18" s="24" t="str">
        <x:v>Describes whether the handoff is system status, document transfer, tracker update, or AI-assisted review.</x:v>
      </x:c>
    </x:row>
    <x:row r="19">
      <x:c r="A19" s="23" t="str">
        <x:v>Data Flow Edges</x:v>
      </x:c>
      <x:c r="B19" s="176" t="str">
        <x:v>edge_id/source_node_id/target_node_id</x:v>
      </x:c>
      <x:c r="C19" s="176" t="str">
        <x:v>Text</x:v>
      </x:c>
      <x:c r="D19" s="176" t="str">
        <x:v>Yes</x:v>
      </x:c>
      <x:c r="E19" s="24" t="str">
        <x:v>React Flow overlay edge identifiers and endpoints for software/data connection lines.</x:v>
      </x:c>
    </x:row>
    <x:row r="20">
      <x:c r="A20" s="23" t="str">
        <x:v>Data Flow Edges</x:v>
      </x:c>
      <x:c r="B20" s="176" t="str">
        <x:v>stroke_color/stroke_width/stroke_dasharray</x:v>
      </x:c>
      <x:c r="C20" s="176" t="str">
        <x:v>Text/Number</x:v>
      </x:c>
      <x:c r="D20" s="176" t="str">
        <x:v>No</x:v>
      </x:c>
      <x:c r="E20" s="24" t="str">
        <x:v>React line styling for system/data overlay edges.</x:v>
      </x:c>
    </x:row>
    <x:row r="21">
      <x:c r="A21" s="23" t="str">
        <x:v>React Import Map</x:v>
      </x:c>
      <x:c r="B21" s="176" t="str">
        <x:v>react_field</x:v>
      </x:c>
      <x:c r="C21" s="176" t="str">
        <x:v>Text</x:v>
      </x:c>
      <x:c r="D21" s="176" t="str">
        <x:v>No</x:v>
      </x:c>
      <x:c r="E21" s="24" t="str">
        <x:v>Suggested object path for loading workbook data into React Flow.</x:v>
      </x:c>
    </x:row>
    <x:row r="22">
      <x:c r="A22" s="23" t="str">
        <x:v>Mermaid Reference</x:v>
      </x:c>
      <x:c r="B22" s="176" t="str">
        <x:v>mermaid_code</x:v>
      </x:c>
      <x:c r="C22" s="176" t="str">
        <x:v>Text</x:v>
      </x:c>
      <x:c r="D22" s="176" t="str">
        <x:v>No</x:v>
      </x:c>
      <x:c r="E22" s="24" t="str">
        <x:v>Exact Mermaid definition of the referenced flowchart.</x:v>
      </x:c>
    </x:row>
    <x:row r="23">
      <x:c r="A23" s="23" t="str">
        <x:v>Lists</x:v>
      </x:c>
      <x:c r="B23" s="176" t="str">
        <x:v>Controlled lists</x:v>
      </x:c>
      <x:c r="C23" s="176" t="str">
        <x:v>List</x:v>
      </x:c>
      <x:c r="D23" s="176" t="str">
        <x:v>No</x:v>
      </x:c>
      <x:c r="E23" s="24" t="str">
        <x:v>Editable list values for validation and consistent terminology.</x:v>
      </x:c>
    </x:row>
  </x:sheetData>
  <x:pageMargins left="0.7" right="0.7" top="0.75" bottom="0.75" header="0.3" footer="0.3"/>
  <x:tableParts count="1">
    <x:tablePart xmlns:r="http://schemas.openxmlformats.org/officeDocument/2006/relationships" r:id="Ra571fffa9dbd43cd"/>
  </x:tableParts>
</x:worksheet>
</file>